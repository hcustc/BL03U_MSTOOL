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02"/>
  <workbookPr/>
  <mc:AlternateContent xmlns:mc="http://schemas.openxmlformats.org/markup-compatibility/2006">
    <mc:Choice Requires="x15">
      <x15ac:absPath xmlns:x15ac="http://schemas.microsoft.com/office/spreadsheetml/2010/11/ac" url="D:\pythonProject\质谱卡峰程序_4\data\"/>
    </mc:Choice>
  </mc:AlternateContent>
  <xr:revisionPtr revIDLastSave="0" documentId="13_ncr:1_{21A98E2E-FDEC-4951-896C-472D0754D353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卡峰配置" sheetId="1" r:id="rId1"/>
    <sheet name="转换公式" sheetId="2" r:id="rId2"/>
  </sheets>
  <definedNames>
    <definedName name="_xlnm._FilterDatabase" localSheetId="0" hidden="1">卡峰配置!$A$1:$E$1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5" i="1" l="1"/>
  <c r="A6" i="1"/>
  <c r="A7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2" i="1" l="1"/>
  <c r="A3" i="1"/>
  <c r="A4" i="1"/>
</calcChain>
</file>

<file path=xl/sharedStrings.xml><?xml version="1.0" encoding="utf-8"?>
<sst xmlns="http://schemas.openxmlformats.org/spreadsheetml/2006/main" count="20" uniqueCount="20">
  <si>
    <t>Formula</t>
  </si>
  <si>
    <t>Peak</t>
    <phoneticPr fontId="3" type="noConversion"/>
  </si>
  <si>
    <t>M/Z</t>
    <phoneticPr fontId="1" type="noConversion"/>
  </si>
  <si>
    <t>Start</t>
    <phoneticPr fontId="1" type="noConversion"/>
  </si>
  <si>
    <t>End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</si>
  <si>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</si>
  <si>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</si>
  <si>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</si>
  <si>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CH3*</t>
    <phoneticPr fontId="1" type="noConversion"/>
  </si>
  <si>
    <t>CH4</t>
    <phoneticPr fontId="1" type="noConversion"/>
  </si>
  <si>
    <t>C2H4</t>
  </si>
  <si>
    <t>C2H5</t>
    <phoneticPr fontId="1" type="noConversion"/>
  </si>
  <si>
    <t>C2H2</t>
  </si>
  <si>
    <t>C3H4</t>
    <phoneticPr fontId="1" type="noConversion"/>
  </si>
  <si>
    <t>C3H5</t>
    <phoneticPr fontId="1" type="noConversion"/>
  </si>
  <si>
    <t xml:space="preserve"> C3H6</t>
    <phoneticPr fontId="1" type="noConversion"/>
  </si>
  <si>
    <t>C3H7</t>
    <phoneticPr fontId="1" type="noConversion"/>
  </si>
  <si>
    <t>C3H8</t>
    <phoneticPr fontId="1" type="noConversion"/>
  </si>
  <si>
    <t>Kr</t>
    <phoneticPr fontId="1" type="noConversion"/>
  </si>
  <si>
    <t>H2O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</si>
</sst>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000_);[Red]\(0.000000000000\)"/>
    <numFmt numFmtId="177" formatCode="0.00000_);[Red]\(0.00000\)"/>
    <numFmt numFmtId="178" formatCode="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dotted">
        <color indexed="55"/>
      </left>
      <right style="dotted">
        <color indexed="55"/>
      </right>
      <top/>
      <bottom style="dashDotDot">
        <color indexed="55"/>
      </bottom>
      <diagonal/>
    </border>
    <border>
      <left/>
      <right/>
      <top/>
      <bottom style="dashDotDot">
        <color indexed="55"/>
      </bottom>
      <diagonal/>
    </border>
    <border>
      <left style="dotted">
        <color indexed="55"/>
      </left>
      <right style="dotted">
        <color indexed="55"/>
      </right>
      <top/>
      <bottom/>
      <diagonal/>
    </border>
    <border>
      <left style="dotted">
        <color indexed="55"/>
      </left>
      <right/>
      <top/>
      <bottom/>
      <diagonal/>
    </border>
    <border>
      <left style="dotted">
        <color rgb="FF969696"/>
      </left>
      <right style="dotted">
        <color rgb="FF969696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5" xfId="0" applyFont="1" applyBorder="1" applyAlignment="1">
      <alignment vertical="top"/>
    </xf>
    <xf numFmtId="11" fontId="4" fillId="0" borderId="5" xfId="0" applyNumberFormat="1" applyFont="1" applyBorder="1" applyAlignment="1">
      <alignment vertical="top"/>
    </xf>
    <xf numFmtId="0" fontId="5" fillId="0" borderId="0" xfId="0" applyFont="1" applyAlignment="1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vertical="top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I18" sqref="I18"/>
    </sheetView>
  </sheetViews>
  <sheetFormatPr defaultRowHeight="13.8" x14ac:dyDescent="0.25"/>
  <cols>
    <col min="1" max="1" width="15.77734375" style="15" customWidth="1"/>
    <col min="2" max="2" width="10.5546875" style="3" bestFit="1" customWidth="1"/>
    <col min="3" max="5" width="8.88671875" style="5"/>
  </cols>
  <sheetData>
    <row r="1" spans="1:5" x14ac:dyDescent="0.25">
      <c r="A1" s="13" t="s">
        <v>2</v>
      </c>
      <c r="B1" s="1" t="s">
        <v>0</v>
      </c>
      <c r="C1" s="2" t="s">
        <v>1</v>
      </c>
      <c r="D1" s="4" t="s">
        <v>3</v>
      </c>
      <c r="E1" s="4" t="s">
        <v>4</v>
      </c>
    </row>
    <row r="2" spans="1:5" x14ac:dyDescent="0.25">
      <c r="A2" s="14">
        <f>转换公式!$B$1+转换公式!$B$2*C2+C2*C2*转换公式!$B$3</f>
        <v>15.011278774015999</v>
      </c>
      <c r="B2" s="3" t="s">
        <v>8</v>
      </c>
      <c r="C2" s="7">
        <v>5532</v>
      </c>
      <c r="D2" s="8">
        <v>5512</v>
      </c>
      <c r="E2" s="9">
        <v>5552</v>
      </c>
    </row>
    <row r="3" spans="1:5" x14ac:dyDescent="0.25">
      <c r="A3" s="14">
        <f>转换公式!$B$1+转换公式!$B$2*C3+C3*C3*转换公式!$B$3</f>
        <v>16.017355227366</v>
      </c>
      <c r="B3" s="3" t="s">
        <v>9</v>
      </c>
      <c r="C3" s="7">
        <v>5743</v>
      </c>
      <c r="D3" s="8">
        <v>5717</v>
      </c>
      <c r="E3" s="9">
        <v>5761</v>
      </c>
    </row>
    <row r="4" spans="1:5" x14ac:dyDescent="0.25">
      <c r="A4" s="14">
        <f>转换公式!$B$1+转换公式!$B$2*C4+C4*C4*转换公式!$B$3</f>
        <v>17.998728998400001</v>
      </c>
      <c r="B4" s="3" t="s">
        <v>19</v>
      </c>
      <c r="C4" s="7">
        <v>6140</v>
      </c>
      <c r="D4" s="8">
        <v>6016</v>
      </c>
      <c r="E4" s="9">
        <v>6158</v>
      </c>
    </row>
    <row r="5" spans="1:5" x14ac:dyDescent="0.25">
      <c r="A5" s="14">
        <f>转换公式!$B$1+转换公式!$B$2*C5+C5*C5*转换公式!$B$3</f>
        <v>25.993904667944001</v>
      </c>
      <c r="B5" s="3" t="s">
        <v>12</v>
      </c>
      <c r="C5" s="7">
        <v>7554</v>
      </c>
      <c r="D5" s="8">
        <v>7527</v>
      </c>
      <c r="E5" s="9">
        <v>7568</v>
      </c>
    </row>
    <row r="6" spans="1:5" x14ac:dyDescent="0.25">
      <c r="A6" s="14">
        <f>转换公式!$B$1+转换公式!$B$2*C6+C6*C6*转换公式!$B$3</f>
        <v>28.006551052583998</v>
      </c>
      <c r="B6" s="3" t="s">
        <v>10</v>
      </c>
      <c r="C6" s="7">
        <v>7874</v>
      </c>
      <c r="D6" s="8">
        <v>7714</v>
      </c>
      <c r="E6" s="9">
        <v>7907</v>
      </c>
    </row>
    <row r="7" spans="1:5" x14ac:dyDescent="0.25">
      <c r="A7" s="14">
        <f>转换公式!$B$1+转换公式!$B$2*C7+C7*C7*转换公式!$B$3</f>
        <v>29.014918662599996</v>
      </c>
      <c r="B7" s="3" t="s">
        <v>11</v>
      </c>
      <c r="C7" s="7">
        <v>8030</v>
      </c>
      <c r="D7" s="8">
        <v>8006</v>
      </c>
      <c r="E7" s="9">
        <v>8055</v>
      </c>
    </row>
    <row r="8" spans="1:5" x14ac:dyDescent="0.25">
      <c r="A8" s="14">
        <f>转换公式!$B$1+转换公式!$B$2*C8+C8*C8*转换公式!$B$3</f>
        <v>40.002652809599994</v>
      </c>
      <c r="B8" s="3" t="s">
        <v>13</v>
      </c>
      <c r="C8" s="7">
        <v>9580</v>
      </c>
      <c r="D8" s="8">
        <v>9558</v>
      </c>
      <c r="E8" s="9">
        <v>9592</v>
      </c>
    </row>
    <row r="9" spans="1:5" x14ac:dyDescent="0.25">
      <c r="A9" s="14">
        <f>转换公式!$B$1+转换公式!$B$2*C9+C9*C9*转换公式!$B$3</f>
        <v>41.004212051400003</v>
      </c>
      <c r="B9" s="3" t="s">
        <v>14</v>
      </c>
      <c r="C9" s="7">
        <v>9710</v>
      </c>
      <c r="D9" s="8">
        <v>9702</v>
      </c>
      <c r="E9" s="9">
        <v>9718</v>
      </c>
    </row>
    <row r="10" spans="1:5" x14ac:dyDescent="0.25">
      <c r="A10" s="14">
        <f>转换公式!$B$1+转换公式!$B$2*C10+C10*C10*转换公式!$B$3</f>
        <v>42.010306576613992</v>
      </c>
      <c r="B10" s="3" t="s">
        <v>15</v>
      </c>
      <c r="C10" s="7">
        <v>9839</v>
      </c>
      <c r="D10" s="8">
        <v>9767</v>
      </c>
      <c r="E10" s="9">
        <v>9857</v>
      </c>
    </row>
    <row r="11" spans="1:5" x14ac:dyDescent="0.25">
      <c r="A11" s="14">
        <f>转换公式!$B$1+转换公式!$B$2*C11+C11*C11*转换公式!$B$3</f>
        <v>43.020652842726001</v>
      </c>
      <c r="B11" s="3" t="s">
        <v>16</v>
      </c>
      <c r="C11" s="7">
        <v>9967</v>
      </c>
      <c r="D11" s="8">
        <v>9961</v>
      </c>
      <c r="E11" s="9">
        <v>9977</v>
      </c>
    </row>
    <row r="12" spans="1:5" x14ac:dyDescent="0.25">
      <c r="A12" s="14">
        <f>转换公式!$B$1+转换公式!$B$2*C12+C12*C12*转换公式!$B$3</f>
        <v>44.026936601765996</v>
      </c>
      <c r="B12" s="3" t="s">
        <v>17</v>
      </c>
      <c r="C12" s="7">
        <v>10093</v>
      </c>
      <c r="D12" s="8">
        <v>10029</v>
      </c>
      <c r="E12" s="9">
        <v>10113</v>
      </c>
    </row>
    <row r="13" spans="1:5" x14ac:dyDescent="0.25">
      <c r="A13" s="14">
        <f>转换公式!$B$1+转换公式!$B$2*C13+C13*C13*转换公式!$B$3</f>
        <v>83.837332046376005</v>
      </c>
      <c r="B13" s="3" t="s">
        <v>18</v>
      </c>
      <c r="C13" s="7">
        <v>14258</v>
      </c>
      <c r="D13" s="8">
        <v>14206</v>
      </c>
      <c r="E13" s="9">
        <v>14277</v>
      </c>
    </row>
    <row r="14" spans="1:5" x14ac:dyDescent="0.25">
      <c r="A14" s="14">
        <f>转换公式!$B$1+转换公式!$B$2*C14+C14*C14*转换公式!$B$3</f>
        <v>0.272489072</v>
      </c>
      <c r="C14" s="7"/>
      <c r="D14" s="8"/>
      <c r="E14" s="9"/>
    </row>
    <row r="15" spans="1:5" x14ac:dyDescent="0.25">
      <c r="A15" s="14">
        <f>转换公式!$B$1+转换公式!$B$2*C15+C15*C15*转换公式!$B$3</f>
        <v>0.272489072</v>
      </c>
      <c r="C15" s="7"/>
      <c r="D15" s="8"/>
      <c r="E15" s="9"/>
    </row>
    <row r="16" spans="1:5" x14ac:dyDescent="0.25">
      <c r="A16" s="14">
        <f>转换公式!$B$1+转换公式!$B$2*C16+C16*C16*转换公式!$B$3</f>
        <v>0.272489072</v>
      </c>
      <c r="C16" s="7"/>
      <c r="D16" s="7"/>
      <c r="E16" s="8"/>
    </row>
    <row r="17" spans="1:11" x14ac:dyDescent="0.25">
      <c r="A17" s="14">
        <f>转换公式!$B$1+转换公式!$B$2*C17+C17*C17*转换公式!$B$3</f>
        <v>0.272489072</v>
      </c>
      <c r="C17" s="7"/>
      <c r="D17" s="7"/>
      <c r="E17" s="8"/>
    </row>
    <row r="18" spans="1:11" x14ac:dyDescent="0.25">
      <c r="A18" s="14">
        <f>转换公式!$B$1+转换公式!$B$2*C18+C18*C18*转换公式!$B$3</f>
        <v>0.272489072</v>
      </c>
      <c r="C18" s="7"/>
      <c r="D18" s="8"/>
      <c r="E18" s="9"/>
    </row>
    <row r="19" spans="1:11" x14ac:dyDescent="0.25">
      <c r="A19" s="14">
        <f>转换公式!$B$1+转换公式!$B$2*C19+C19*C19*转换公式!$B$3</f>
        <v>0.272489072</v>
      </c>
      <c r="B19" s="12"/>
      <c r="C19" s="7"/>
      <c r="D19" s="8"/>
      <c r="E19" s="9"/>
      <c r="I19" s="7"/>
      <c r="J19" s="8"/>
      <c r="K19" s="9"/>
    </row>
    <row r="20" spans="1:11" x14ac:dyDescent="0.25">
      <c r="A20" s="14">
        <f>转换公式!$B$1+转换公式!$B$2*C20+C20*C20*转换公式!$B$3</f>
        <v>0.272489072</v>
      </c>
      <c r="B20" s="12"/>
      <c r="C20" s="7"/>
      <c r="D20" s="8"/>
      <c r="E20" s="9"/>
      <c r="I20" s="7"/>
      <c r="J20" s="8"/>
      <c r="K20" s="9"/>
    </row>
    <row r="21" spans="1:11" x14ac:dyDescent="0.25">
      <c r="A21" s="14">
        <f>转换公式!$B$1+转换公式!$B$2*C21+C21*C21*转换公式!$B$3</f>
        <v>0.272489072</v>
      </c>
      <c r="B21" s="12"/>
      <c r="C21" s="7"/>
      <c r="D21" s="8"/>
      <c r="E21" s="9"/>
      <c r="I21" s="7"/>
      <c r="J21" s="8"/>
      <c r="K21" s="9"/>
    </row>
    <row r="22" spans="1:11" x14ac:dyDescent="0.25">
      <c r="A22" s="14">
        <f>转换公式!$B$1+转换公式!$B$2*C22+C22*C22*转换公式!$B$3</f>
        <v>0.272489072</v>
      </c>
      <c r="B22" s="12"/>
      <c r="C22" s="7"/>
      <c r="D22" s="16"/>
      <c r="E22" s="16"/>
      <c r="I22" s="7"/>
      <c r="J22" s="8"/>
      <c r="K22" s="9"/>
    </row>
    <row r="23" spans="1:11" x14ac:dyDescent="0.25">
      <c r="A23" s="14">
        <f>转换公式!$B$1+转换公式!$B$2*C23+C23*C23*转换公式!$B$3</f>
        <v>0.272489072</v>
      </c>
      <c r="B23" s="12"/>
      <c r="C23" s="16"/>
      <c r="D23" s="16"/>
      <c r="E23" s="16"/>
      <c r="I23" s="7"/>
      <c r="J23" s="8"/>
      <c r="K23" s="9"/>
    </row>
    <row r="24" spans="1:11" x14ac:dyDescent="0.25">
      <c r="A24" s="14">
        <f>转换公式!$B$1+转换公式!$B$2*C24+C24*C24*转换公式!$B$3</f>
        <v>0.272489072</v>
      </c>
      <c r="B24" s="12"/>
      <c r="C24" s="7"/>
      <c r="D24" s="16"/>
      <c r="E24" s="16"/>
      <c r="I24" s="7"/>
      <c r="J24" s="8"/>
      <c r="K24" s="9"/>
    </row>
    <row r="25" spans="1:11" x14ac:dyDescent="0.25">
      <c r="A25" s="14">
        <f>转换公式!$B$1+转换公式!$B$2*C25+C25*C25*转换公式!$B$3</f>
        <v>0.272489072</v>
      </c>
      <c r="C25" s="16"/>
      <c r="D25" s="16"/>
      <c r="E25" s="16"/>
    </row>
    <row r="26" spans="1:11" x14ac:dyDescent="0.25">
      <c r="A26" s="14">
        <f>转换公式!$B$1+转换公式!$B$2*C26+C26*C26*转换公式!$B$3</f>
        <v>0.272489072</v>
      </c>
      <c r="C26" s="16"/>
      <c r="D26" s="16"/>
      <c r="E26" s="16"/>
    </row>
    <row r="27" spans="1:11" x14ac:dyDescent="0.25">
      <c r="A27" s="14">
        <f>转换公式!$B$1+转换公式!$B$2*C27+C27*C27*转换公式!$B$3</f>
        <v>0.272489072</v>
      </c>
      <c r="C27" s="16"/>
      <c r="D27" s="16"/>
      <c r="E27" s="16"/>
    </row>
    <row r="28" spans="1:11" x14ac:dyDescent="0.25">
      <c r="A28" s="14">
        <f>转换公式!$B$1+转换公式!$B$2*C28+C28*C28*转换公式!$B$3</f>
        <v>0.272489072</v>
      </c>
      <c r="C28" s="16"/>
      <c r="D28" s="16"/>
      <c r="E28" s="16"/>
    </row>
    <row r="29" spans="1:11" x14ac:dyDescent="0.25">
      <c r="A29" s="14">
        <f>转换公式!$B$1+转换公式!$B$2*C29+C29*C29*转换公式!$B$3</f>
        <v>0.272489072</v>
      </c>
      <c r="C29" s="16"/>
      <c r="D29" s="16"/>
      <c r="E29" s="16"/>
    </row>
    <row r="30" spans="1:11" x14ac:dyDescent="0.25">
      <c r="A30" s="14">
        <f>转换公式!$B$1+转换公式!$B$2*C30+C30*C30*转换公式!$B$3</f>
        <v>0.272489072</v>
      </c>
      <c r="C30" s="16"/>
      <c r="D30" s="17"/>
      <c r="E30" s="17"/>
    </row>
    <row r="31" spans="1:11" x14ac:dyDescent="0.25">
      <c r="A31" s="14">
        <f>转换公式!$B$1+转换公式!$B$2*C31+C31*C31*转换公式!$B$3</f>
        <v>0.272489072</v>
      </c>
      <c r="C31" s="16"/>
      <c r="D31" s="17"/>
      <c r="E31" s="17"/>
    </row>
    <row r="32" spans="1:11" x14ac:dyDescent="0.25">
      <c r="A32" s="14">
        <f>转换公式!$B$1+转换公式!$B$2*C32+C32*C32*转换公式!$B$3</f>
        <v>0.272489072</v>
      </c>
      <c r="C32" s="16"/>
      <c r="D32" s="17"/>
      <c r="E32" s="17"/>
    </row>
    <row r="33" spans="1:5" x14ac:dyDescent="0.25">
      <c r="A33" s="14">
        <f>转换公式!$B$1+转换公式!$B$2*C33+C33*C33*转换公式!$B$3</f>
        <v>0.272489072</v>
      </c>
      <c r="C33" s="16"/>
      <c r="D33" s="17"/>
      <c r="E33" s="17"/>
    </row>
    <row r="34" spans="1:5" x14ac:dyDescent="0.25">
      <c r="A34" s="14">
        <f>转换公式!$B$1+转换公式!$B$2*C34+C34*C34*转换公式!$B$3</f>
        <v>0.272489072</v>
      </c>
      <c r="C34" s="7"/>
      <c r="D34" s="17"/>
      <c r="E34" s="17"/>
    </row>
    <row r="35" spans="1:5" x14ac:dyDescent="0.25">
      <c r="A35" s="14">
        <f>转换公式!$B$1+转换公式!$B$2*C35+C35*C35*转换公式!$B$3</f>
        <v>0.272489072</v>
      </c>
      <c r="C35" s="16"/>
      <c r="D35" s="17"/>
      <c r="E35" s="17"/>
    </row>
    <row r="36" spans="1:5" x14ac:dyDescent="0.25">
      <c r="A36" s="14">
        <f>转换公式!$B$1+转换公式!$B$2*C36+C36*C36*转换公式!$B$3</f>
        <v>0.272489072</v>
      </c>
      <c r="C36" s="16"/>
      <c r="D36" s="17"/>
      <c r="E36" s="17"/>
    </row>
    <row r="37" spans="1:5" x14ac:dyDescent="0.25">
      <c r="A37" s="14">
        <f>转换公式!$B$1+转换公式!$B$2*C37+C37*C37*转换公式!$B$3</f>
        <v>0.272489072</v>
      </c>
      <c r="C37" s="16"/>
      <c r="D37" s="17"/>
      <c r="E37" s="17"/>
    </row>
    <row r="38" spans="1:5" x14ac:dyDescent="0.25">
      <c r="A38" s="14">
        <f>转换公式!$B$1+转换公式!$B$2*C38+C38*C38*转换公式!$B$3</f>
        <v>0.272489072</v>
      </c>
      <c r="C38" s="16"/>
      <c r="D38" s="17"/>
      <c r="E38" s="17"/>
    </row>
    <row r="39" spans="1:5" x14ac:dyDescent="0.25">
      <c r="A39" s="14">
        <f>转换公式!$B$1+转换公式!$B$2*C39+C39*C39*转换公式!$B$3</f>
        <v>0.272489072</v>
      </c>
      <c r="C39" s="16"/>
      <c r="D39" s="17"/>
      <c r="E39" s="17"/>
    </row>
    <row r="40" spans="1:5" x14ac:dyDescent="0.25">
      <c r="A40" s="14">
        <f>转换公式!$B$1+转换公式!$B$2*C40+C40*C40*转换公式!$B$3</f>
        <v>0.272489072</v>
      </c>
      <c r="C40" s="16"/>
      <c r="D40" s="17"/>
      <c r="E40" s="17"/>
    </row>
    <row r="41" spans="1:5" x14ac:dyDescent="0.25">
      <c r="A41" s="14">
        <f>转换公式!$B$1+转换公式!$B$2*C41+C41*C41*转换公式!$B$3</f>
        <v>0.272489072</v>
      </c>
      <c r="C41" s="16"/>
      <c r="D41" s="17"/>
      <c r="E41" s="17"/>
    </row>
    <row r="42" spans="1:5" x14ac:dyDescent="0.25">
      <c r="A42" s="14">
        <f>转换公式!$B$1+转换公式!$B$2*C42+C42*C42*转换公式!$B$3</f>
        <v>0.272489072</v>
      </c>
      <c r="C42" s="16"/>
      <c r="D42" s="17"/>
      <c r="E42" s="17"/>
    </row>
    <row r="43" spans="1:5" x14ac:dyDescent="0.25">
      <c r="A43" s="14">
        <f>转换公式!$B$1+转换公式!$B$2*C43+C43*C43*转换公式!$B$3</f>
        <v>0.272489072</v>
      </c>
      <c r="C43" s="16"/>
      <c r="D43" s="17"/>
      <c r="E43" s="17"/>
    </row>
    <row r="44" spans="1:5" x14ac:dyDescent="0.25">
      <c r="A44" s="14">
        <f>转换公式!$B$1+转换公式!$B$2*C44+C44*C44*转换公式!$B$3</f>
        <v>0.272489072</v>
      </c>
      <c r="C44" s="16"/>
      <c r="D44" s="17"/>
      <c r="E44" s="17"/>
    </row>
    <row r="45" spans="1:5" x14ac:dyDescent="0.25">
      <c r="A45" s="14">
        <f>转换公式!$B$1+转换公式!$B$2*C45+C45*C45*转换公式!$B$3</f>
        <v>0.272489072</v>
      </c>
      <c r="C45" s="16"/>
      <c r="D45" s="17"/>
      <c r="E45" s="17"/>
    </row>
    <row r="46" spans="1:5" x14ac:dyDescent="0.25">
      <c r="A46" s="14">
        <f>转换公式!$B$1+转换公式!$B$2*C46+C46*C46*转换公式!$B$3</f>
        <v>0.272489072</v>
      </c>
      <c r="C46" s="16"/>
      <c r="D46" s="17"/>
      <c r="E46" s="17"/>
    </row>
    <row r="47" spans="1:5" x14ac:dyDescent="0.25">
      <c r="A47" s="14">
        <f>转换公式!$B$1+转换公式!$B$2*C47+C47*C47*转换公式!$B$3</f>
        <v>0.272489072</v>
      </c>
      <c r="C47" s="16"/>
      <c r="D47" s="17"/>
      <c r="E47" s="17"/>
    </row>
    <row r="48" spans="1:5" x14ac:dyDescent="0.25">
      <c r="A48" s="14">
        <f>转换公式!$B$1+转换公式!$B$2*C48+C48*C48*转换公式!$B$3</f>
        <v>0.272489072</v>
      </c>
      <c r="C48" s="16"/>
      <c r="D48" s="17"/>
      <c r="E48" s="17"/>
    </row>
    <row r="49" spans="1:5" x14ac:dyDescent="0.25">
      <c r="A49" s="14">
        <f>转换公式!$B$1+转换公式!$B$2*C49+C49*C49*转换公式!$B$3</f>
        <v>0.272489072</v>
      </c>
      <c r="C49" s="16"/>
      <c r="D49" s="16"/>
      <c r="E49" s="16"/>
    </row>
    <row r="50" spans="1:5" x14ac:dyDescent="0.25">
      <c r="A50" s="14">
        <f>转换公式!$B$1+转换公式!$B$2*C50+C50*C50*转换公式!$B$3</f>
        <v>0.272489072</v>
      </c>
      <c r="C50" s="16"/>
      <c r="D50" s="16"/>
      <c r="E50" s="16"/>
    </row>
    <row r="51" spans="1:5" x14ac:dyDescent="0.25">
      <c r="A51" s="14">
        <f>转换公式!$B$1+转换公式!$B$2*C51+C51*C51*转换公式!$B$3</f>
        <v>0.272489072</v>
      </c>
      <c r="C51" s="16"/>
      <c r="D51" s="16"/>
      <c r="E51" s="16"/>
    </row>
    <row r="52" spans="1:5" x14ac:dyDescent="0.25">
      <c r="A52" s="14">
        <f>转换公式!$B$1+转换公式!$B$2*C52+C52*C52*转换公式!$B$3</f>
        <v>0.272489072</v>
      </c>
      <c r="C52" s="16"/>
      <c r="D52" s="8"/>
      <c r="E52" s="9"/>
    </row>
    <row r="53" spans="1:5" x14ac:dyDescent="0.25">
      <c r="A53" s="14">
        <f>转换公式!$B$1+转换公式!$B$2*C53+C53*C53*转换公式!$B$3</f>
        <v>0.272489072</v>
      </c>
      <c r="C53" s="16"/>
      <c r="D53" s="16"/>
      <c r="E53" s="16"/>
    </row>
    <row r="54" spans="1:5" x14ac:dyDescent="0.25">
      <c r="A54" s="14">
        <f>转换公式!$B$1+转换公式!$B$2*C54+C54*C54*转换公式!$B$3</f>
        <v>0.272489072</v>
      </c>
      <c r="C54" s="16"/>
      <c r="D54" s="16"/>
      <c r="E54" s="16"/>
    </row>
    <row r="55" spans="1:5" x14ac:dyDescent="0.25">
      <c r="A55" s="14">
        <f>转换公式!$B$1+转换公式!$B$2*C55+C55*C55*转换公式!$B$3</f>
        <v>0.272489072</v>
      </c>
      <c r="C55" s="16"/>
      <c r="D55" s="16"/>
      <c r="E55" s="9"/>
    </row>
    <row r="56" spans="1:5" x14ac:dyDescent="0.25">
      <c r="A56" s="14">
        <f>转换公式!$B$1+转换公式!$B$2*C56+C56*C56*转换公式!$B$3</f>
        <v>0.272489072</v>
      </c>
      <c r="C56" s="16"/>
      <c r="D56" s="8"/>
      <c r="E56" s="9"/>
    </row>
    <row r="57" spans="1:5" x14ac:dyDescent="0.25">
      <c r="A57" s="14">
        <f>转换公式!$B$1+转换公式!$B$2*C57+C57*C57*转换公式!$B$3</f>
        <v>0.272489072</v>
      </c>
      <c r="C57" s="16"/>
      <c r="D57" s="17"/>
      <c r="E57" s="17"/>
    </row>
  </sheetData>
  <autoFilter ref="A1:E1" xr:uid="{00000000-0001-0000-0000-000000000000}">
    <sortState xmlns:xlrd2="http://schemas.microsoft.com/office/spreadsheetml/2017/richdata2" ref="A2:E18">
      <sortCondition ref="A1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E76D-82A9-41CF-B4D1-1BA5D73E3FA1}">
  <dimension ref="A1:B3"/>
  <sheetViews>
    <sheetView workbookViewId="0">
      <selection activeCell="B1" sqref="B1"/>
    </sheetView>
  </sheetViews>
  <sheetFormatPr defaultRowHeight="13.8" x14ac:dyDescent="0.25"/>
  <cols>
    <col min="1" max="1" width="8.88671875" style="5" customWidth="1"/>
    <col min="2" max="2" width="46" style="6" customWidth="1"/>
    <col min="5" max="5" width="24" customWidth="1"/>
  </cols>
  <sheetData>
    <row r="1" spans="1:2" x14ac:dyDescent="0.25">
      <c r="A1" s="5" t="s">
        <v>5</v>
      </c>
      <c r="B1" s="10">
        <v>0.272489072</v>
      </c>
    </row>
    <row r="2" spans="1:2" x14ac:dyDescent="0.25">
      <c r="A2" s="5" t="s">
        <v>6</v>
      </c>
      <c r="B2" s="10">
        <v>6.3771900000000002E-4</v>
      </c>
    </row>
    <row r="3" spans="1:2" x14ac:dyDescent="0.25">
      <c r="A3" s="5" t="s">
        <v>7</v>
      </c>
      <c r="B3" s="11">
        <v>3.6633399999999998E-7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卡峰配置</vt:lpstr>
      <vt:lpstr>转换公式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Jinsong Luo</dc:creator>
  <cp:lastModifiedBy>huangchen</cp:lastModifiedBy>
  <dcterms:created xsi:type="dcterms:W3CDTF">2015-06-05T18:19:34Z</dcterms:created>
  <dcterms:modified xsi:type="dcterms:W3CDTF">2024-04-23T07:35:45Z</dcterms:modified>
</cp:coreProperties>
</file>