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8.xml" ContentType="application/vnd.openxmlformats-officedocument.drawing+xml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9.xml" ContentType="application/vnd.openxmlformats-officedocument.drawing+xml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10.xml" ContentType="application/vnd.openxmlformats-officedocument.drawing+xml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1.xml" ContentType="application/vnd.openxmlformats-officedocument.drawing+xml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2.xml" ContentType="application/vnd.openxmlformats-officedocument.drawing+xml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3.xml" ContentType="application/vnd.openxmlformats-officedocument.drawing+xml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2023\202307\中科大赵龙\C6F11O2H全氟己酸\"/>
    </mc:Choice>
  </mc:AlternateContent>
  <bookViews>
    <workbookView minimized="1" xWindow="-120" yWindow="-120" windowWidth="28035" windowHeight="16440" tabRatio="789" firstSheet="12" activeTab="12"/>
  </bookViews>
  <sheets>
    <sheet name="Parameters" sheetId="2" r:id="rId1"/>
    <sheet name="处理" sheetId="149" r:id="rId2"/>
    <sheet name="PIE(9.0-10.05)_3" sheetId="325" r:id="rId3"/>
    <sheet name="PIE(9.0-10.05)" sheetId="326" r:id="rId4"/>
    <sheet name="PIE(10-12)" sheetId="327" r:id="rId5"/>
    <sheet name="PIE(10-12)_2" sheetId="328" r:id="rId6"/>
    <sheet name="PIE(9.0-10.05)_2" sheetId="329" r:id="rId7"/>
    <sheet name="PIE(9.0-10.05)_4" sheetId="330" r:id="rId8"/>
    <sheet name="14.7eV" sheetId="332" r:id="rId9"/>
    <sheet name="14.7eV_2" sheetId="333" r:id="rId10"/>
    <sheet name="PIE(9.5-10)" sheetId="334" r:id="rId11"/>
    <sheet name="PIE(9.5-10)_2" sheetId="335" r:id="rId12"/>
    <sheet name="PIE(9.0-10.05)_5" sheetId="336" r:id="rId13"/>
  </sheets>
  <functionGroups builtInGroupCount="18"/>
  <calcPr calcId="152511"/>
</workbook>
</file>

<file path=xl/calcChain.xml><?xml version="1.0" encoding="utf-8"?>
<calcChain xmlns="http://schemas.openxmlformats.org/spreadsheetml/2006/main">
  <c r="Z3" i="149" l="1"/>
  <c r="Z4" i="149"/>
  <c r="Z5" i="149"/>
  <c r="Z6" i="149"/>
  <c r="Z7" i="149"/>
  <c r="Z8" i="149"/>
  <c r="Z9" i="149"/>
  <c r="Z10" i="149"/>
  <c r="Z11" i="149"/>
  <c r="Z12" i="149"/>
  <c r="Z13" i="149"/>
  <c r="Z14" i="149"/>
  <c r="Z15" i="149"/>
  <c r="Z16" i="149"/>
  <c r="Z17" i="149"/>
  <c r="Z18" i="149"/>
  <c r="Z19" i="149"/>
  <c r="T17" i="149"/>
  <c r="W27" i="149" l="1"/>
  <c r="W28" i="149"/>
  <c r="W29" i="149"/>
  <c r="W30" i="149"/>
  <c r="W31" i="149"/>
  <c r="W32" i="149"/>
  <c r="W33" i="149"/>
  <c r="W34" i="149"/>
  <c r="W35" i="149"/>
  <c r="W36" i="149"/>
  <c r="W37" i="149"/>
  <c r="W38" i="149"/>
  <c r="W39" i="149"/>
  <c r="W40" i="149"/>
  <c r="W41" i="149"/>
  <c r="W42" i="149"/>
  <c r="W43" i="149"/>
  <c r="W26" i="149"/>
  <c r="U27" i="149"/>
  <c r="U28" i="149"/>
  <c r="U29" i="149"/>
  <c r="U30" i="149"/>
  <c r="U31" i="149"/>
  <c r="U32" i="149"/>
  <c r="U33" i="149"/>
  <c r="U34" i="149"/>
  <c r="U35" i="149"/>
  <c r="U36" i="149"/>
  <c r="U37" i="149"/>
  <c r="U38" i="149"/>
  <c r="U39" i="149"/>
  <c r="U40" i="149"/>
  <c r="U41" i="149"/>
  <c r="U42" i="149"/>
  <c r="U43" i="149"/>
  <c r="U26" i="149"/>
  <c r="T27" i="149"/>
  <c r="T28" i="149"/>
  <c r="T29" i="149"/>
  <c r="T30" i="149"/>
  <c r="T31" i="149"/>
  <c r="T32" i="149"/>
  <c r="T33" i="149"/>
  <c r="T34" i="149"/>
  <c r="T35" i="149"/>
  <c r="T36" i="149"/>
  <c r="T37" i="149"/>
  <c r="T38" i="149"/>
  <c r="T39" i="149"/>
  <c r="T40" i="149"/>
  <c r="T41" i="149"/>
  <c r="T42" i="149"/>
  <c r="T43" i="149"/>
  <c r="T26" i="149"/>
  <c r="W3" i="149"/>
  <c r="W4" i="149"/>
  <c r="W5" i="149"/>
  <c r="W6" i="149"/>
  <c r="W7" i="149"/>
  <c r="W8" i="149"/>
  <c r="W9" i="149"/>
  <c r="W10" i="149"/>
  <c r="W11" i="149"/>
  <c r="W12" i="149"/>
  <c r="W13" i="149"/>
  <c r="W14" i="149"/>
  <c r="W15" i="149"/>
  <c r="W16" i="149"/>
  <c r="W17" i="149"/>
  <c r="W18" i="149"/>
  <c r="W19" i="149"/>
  <c r="W2" i="149"/>
  <c r="T19" i="149" l="1"/>
  <c r="U19" i="149"/>
  <c r="U9" i="149" l="1"/>
  <c r="U5" i="149"/>
  <c r="U3" i="149"/>
  <c r="U4" i="149"/>
  <c r="U6" i="149"/>
  <c r="U7" i="149"/>
  <c r="U8" i="149"/>
  <c r="U10" i="149"/>
  <c r="U11" i="149"/>
  <c r="U12" i="149"/>
  <c r="U13" i="149"/>
  <c r="U14" i="149"/>
  <c r="U15" i="149"/>
  <c r="U16" i="149"/>
  <c r="U17" i="149"/>
  <c r="U18" i="149"/>
  <c r="U2" i="149"/>
  <c r="V14" i="149" l="1"/>
  <c r="V42" i="149"/>
  <c r="V36" i="149"/>
  <c r="V38" i="149"/>
  <c r="V40" i="149"/>
  <c r="V35" i="149"/>
  <c r="V30" i="149"/>
  <c r="V26" i="149"/>
  <c r="V32" i="149"/>
  <c r="V39" i="149"/>
  <c r="V34" i="149"/>
  <c r="V28" i="149"/>
  <c r="V43" i="149"/>
  <c r="V27" i="149"/>
  <c r="V33" i="149"/>
  <c r="V31" i="149"/>
  <c r="V29" i="149"/>
  <c r="V41" i="149"/>
  <c r="V37" i="149"/>
  <c r="V4" i="149"/>
  <c r="D47" i="149" s="1"/>
  <c r="V8" i="149"/>
  <c r="D51" i="149" s="1"/>
  <c r="V7" i="149"/>
  <c r="D50" i="149" s="1"/>
  <c r="V16" i="149"/>
  <c r="V11" i="149"/>
  <c r="D54" i="149" s="1"/>
  <c r="V6" i="149"/>
  <c r="D49" i="149" s="1"/>
  <c r="V12" i="149"/>
  <c r="V10" i="149"/>
  <c r="D53" i="149" s="1"/>
  <c r="V5" i="149"/>
  <c r="D48" i="149" s="1"/>
  <c r="V3" i="149"/>
  <c r="D46" i="149" s="1"/>
  <c r="V9" i="149"/>
  <c r="D52" i="149" s="1"/>
  <c r="V17" i="149"/>
  <c r="V13" i="149"/>
  <c r="V19" i="149"/>
  <c r="V15" i="149"/>
  <c r="V18" i="149"/>
  <c r="T15" i="149"/>
  <c r="T16" i="149"/>
  <c r="T18" i="149"/>
  <c r="D56" i="149" l="1"/>
  <c r="D58" i="149"/>
  <c r="D55" i="149"/>
  <c r="D60" i="149"/>
  <c r="D59" i="149"/>
  <c r="D57" i="149"/>
  <c r="X37" i="149"/>
  <c r="X33" i="149"/>
  <c r="X34" i="149"/>
  <c r="X31" i="149"/>
  <c r="X28" i="149"/>
  <c r="X26" i="149"/>
  <c r="X38" i="149"/>
  <c r="X30" i="149"/>
  <c r="X41" i="149"/>
  <c r="X27" i="149"/>
  <c r="X39" i="149"/>
  <c r="X35" i="149"/>
  <c r="X42" i="149"/>
  <c r="X36" i="149"/>
  <c r="X29" i="149"/>
  <c r="X43" i="149"/>
  <c r="X32" i="149"/>
  <c r="X40" i="149"/>
  <c r="T3" i="149"/>
  <c r="T4" i="149"/>
  <c r="T5" i="149"/>
  <c r="T6" i="149"/>
  <c r="T7" i="149"/>
  <c r="T8" i="149"/>
  <c r="T9" i="149"/>
  <c r="T10" i="149"/>
  <c r="T11" i="149"/>
  <c r="T12" i="149"/>
  <c r="T13" i="149"/>
  <c r="T14" i="149"/>
  <c r="T2" i="149"/>
  <c r="Y40" i="149" l="1"/>
  <c r="Y43" i="149"/>
  <c r="AA43" i="149" s="1"/>
  <c r="Y36" i="149"/>
  <c r="Y35" i="149"/>
  <c r="Y27" i="149"/>
  <c r="Y30" i="149"/>
  <c r="Y26" i="149"/>
  <c r="Y31" i="149"/>
  <c r="Y33" i="149"/>
  <c r="Y32" i="149"/>
  <c r="Y29" i="149"/>
  <c r="Y42" i="149"/>
  <c r="AA42" i="149" s="1"/>
  <c r="Y39" i="149"/>
  <c r="Y41" i="149"/>
  <c r="Y38" i="149"/>
  <c r="Y28" i="149"/>
  <c r="Y34" i="149"/>
  <c r="Y37" i="149"/>
  <c r="X16" i="149"/>
  <c r="X17" i="149"/>
  <c r="X15" i="149"/>
  <c r="X18" i="149"/>
  <c r="X19" i="149"/>
  <c r="X9" i="149"/>
  <c r="X5" i="149"/>
  <c r="X10" i="149"/>
  <c r="V2" i="149"/>
  <c r="T4" i="2"/>
  <c r="T6" i="2"/>
  <c r="T7" i="2"/>
  <c r="T5" i="2"/>
  <c r="D45" i="149" l="1"/>
  <c r="Z31" i="149" s="1"/>
  <c r="AA31" i="149" s="1"/>
  <c r="Z2" i="149"/>
  <c r="X2" i="149"/>
  <c r="Y2" i="149" s="1"/>
  <c r="X4" i="149"/>
  <c r="X11" i="149"/>
  <c r="X8" i="149"/>
  <c r="X13" i="149"/>
  <c r="X12" i="149"/>
  <c r="X14" i="149"/>
  <c r="X6" i="149"/>
  <c r="X7" i="149"/>
  <c r="X3" i="149"/>
  <c r="Z28" i="149" l="1"/>
  <c r="AA28" i="149" s="1"/>
  <c r="Z42" i="149"/>
  <c r="Z43" i="149"/>
  <c r="Z41" i="149"/>
  <c r="AA41" i="149" s="1"/>
  <c r="Z40" i="149"/>
  <c r="AA40" i="149" s="1"/>
  <c r="Z30" i="149"/>
  <c r="AA30" i="149" s="1"/>
  <c r="Z38" i="149"/>
  <c r="AA38" i="149" s="1"/>
  <c r="Z37" i="149"/>
  <c r="AA37" i="149" s="1"/>
  <c r="Z29" i="149"/>
  <c r="AA29" i="149" s="1"/>
  <c r="Z33" i="149"/>
  <c r="AA33" i="149" s="1"/>
  <c r="Z39" i="149"/>
  <c r="AA39" i="149" s="1"/>
  <c r="Z35" i="149"/>
  <c r="AA35" i="149" s="1"/>
  <c r="Z36" i="149"/>
  <c r="AA36" i="149" s="1"/>
  <c r="Z34" i="149"/>
  <c r="AA34" i="149" s="1"/>
  <c r="Z32" i="149"/>
  <c r="AA32" i="149" s="1"/>
  <c r="Z26" i="149"/>
  <c r="AA26" i="149" s="1"/>
  <c r="Z27" i="149"/>
  <c r="AA27" i="149" s="1"/>
  <c r="AA2" i="149"/>
  <c r="Y15" i="149"/>
  <c r="AA15" i="149" s="1"/>
  <c r="Y19" i="149"/>
  <c r="AA19" i="149" s="1"/>
  <c r="Y17" i="149"/>
  <c r="AA17" i="149" s="1"/>
  <c r="Y3" i="149"/>
  <c r="AA3" i="149" s="1"/>
  <c r="Y16" i="149"/>
  <c r="AA16" i="149" s="1"/>
  <c r="Y18" i="149"/>
  <c r="AA18" i="149" s="1"/>
  <c r="Y9" i="149"/>
  <c r="AA9" i="149" s="1"/>
  <c r="Y11" i="149"/>
  <c r="AA11" i="149" s="1"/>
  <c r="Y5" i="149"/>
  <c r="AA5" i="149" s="1"/>
  <c r="Y7" i="149"/>
  <c r="AA7" i="149" s="1"/>
  <c r="Y14" i="149"/>
  <c r="AA14" i="149" s="1"/>
  <c r="Y13" i="149"/>
  <c r="AA13" i="149" s="1"/>
  <c r="Y10" i="149"/>
  <c r="AA10" i="149" s="1"/>
  <c r="Y12" i="149"/>
  <c r="AA12" i="149" s="1"/>
  <c r="Y6" i="149"/>
  <c r="AA6" i="149" s="1"/>
  <c r="Y8" i="149"/>
  <c r="AA8" i="149" s="1"/>
  <c r="Y4" i="149"/>
  <c r="AA4" i="149" s="1"/>
</calcChain>
</file>

<file path=xl/sharedStrings.xml><?xml version="1.0" encoding="utf-8"?>
<sst xmlns="http://schemas.openxmlformats.org/spreadsheetml/2006/main" count="291" uniqueCount="69">
  <si>
    <t>M/Z</t>
  </si>
  <si>
    <t>Formula</t>
  </si>
  <si>
    <t>Range</t>
  </si>
  <si>
    <r>
      <rPr>
        <sz val="11"/>
        <color theme="1"/>
        <rFont val="宋体"/>
        <family val="3"/>
        <charset val="134"/>
      </rPr>
      <t>计算同位素相对丰度</t>
    </r>
    <r>
      <rPr>
        <sz val="11"/>
        <color theme="1"/>
        <rFont val="Times New Roman"/>
        <family val="1"/>
      </rPr>
      <t>(</t>
    </r>
    <r>
      <rPr>
        <sz val="11"/>
        <color theme="1"/>
        <rFont val="宋体"/>
        <family val="3"/>
        <charset val="134"/>
      </rPr>
      <t>分子式支持</t>
    </r>
    <r>
      <rPr>
        <sz val="11"/>
        <color theme="1"/>
        <rFont val="Times New Roman"/>
        <family val="1"/>
      </rPr>
      <t>HCNO)</t>
    </r>
    <phoneticPr fontId="3" type="noConversion"/>
  </si>
  <si>
    <r>
      <rPr>
        <sz val="11"/>
        <color theme="1"/>
        <rFont val="宋体"/>
        <family val="3"/>
        <charset val="134"/>
      </rPr>
      <t>分子式</t>
    </r>
    <r>
      <rPr>
        <sz val="11"/>
        <color theme="1"/>
        <rFont val="Times New Roman"/>
        <family val="1"/>
      </rPr>
      <t/>
    </r>
    <phoneticPr fontId="3" type="noConversion"/>
  </si>
  <si>
    <r>
      <rPr>
        <sz val="11"/>
        <color theme="1"/>
        <rFont val="宋体"/>
        <family val="3"/>
        <charset val="134"/>
      </rPr>
      <t>质量数增加值</t>
    </r>
    <phoneticPr fontId="3" type="noConversion"/>
  </si>
  <si>
    <r>
      <rPr>
        <sz val="11"/>
        <color theme="1"/>
        <rFont val="宋体"/>
        <family val="3"/>
        <charset val="134"/>
      </rPr>
      <t>相对丰度</t>
    </r>
    <phoneticPr fontId="3" type="noConversion"/>
  </si>
  <si>
    <t>C15H15</t>
    <phoneticPr fontId="3" type="noConversion"/>
  </si>
  <si>
    <t>C1000H1000</t>
    <phoneticPr fontId="3" type="noConversion"/>
  </si>
  <si>
    <t>C2H4</t>
    <phoneticPr fontId="3" type="noConversion"/>
  </si>
  <si>
    <t>CO</t>
    <phoneticPr fontId="3" type="noConversion"/>
  </si>
  <si>
    <t>Peak</t>
    <phoneticPr fontId="3" type="noConversion"/>
  </si>
  <si>
    <r>
      <rPr>
        <sz val="11"/>
        <color theme="1"/>
        <rFont val="宋体"/>
        <family val="3"/>
        <charset val="134"/>
      </rPr>
      <t>文件夹地址</t>
    </r>
    <phoneticPr fontId="3" type="noConversion"/>
  </si>
  <si>
    <r>
      <rPr>
        <sz val="11"/>
        <color theme="1"/>
        <rFont val="宋体"/>
        <family val="3"/>
        <charset val="134"/>
      </rPr>
      <t>导入</t>
    </r>
    <r>
      <rPr>
        <sz val="11"/>
        <color theme="1"/>
        <rFont val="Times New Roman"/>
        <family val="1"/>
      </rPr>
      <t>X</t>
    </r>
    <r>
      <rPr>
        <sz val="11"/>
        <color theme="1"/>
        <rFont val="宋体"/>
        <family val="3"/>
        <charset val="134"/>
      </rPr>
      <t>轴和光强</t>
    </r>
    <phoneticPr fontId="3" type="noConversion"/>
  </si>
  <si>
    <r>
      <rPr>
        <sz val="11"/>
        <color theme="1"/>
        <rFont val="宋体"/>
        <family val="3"/>
        <charset val="134"/>
      </rPr>
      <t>采谱能量</t>
    </r>
    <r>
      <rPr>
        <sz val="11"/>
        <color theme="1"/>
        <rFont val="Times New Roman"/>
        <family val="1"/>
      </rPr>
      <t xml:space="preserve"> (eV)</t>
    </r>
    <phoneticPr fontId="3" type="noConversion"/>
  </si>
  <si>
    <r>
      <rPr>
        <sz val="11"/>
        <color theme="1"/>
        <rFont val="宋体"/>
        <family val="3"/>
        <charset val="134"/>
      </rPr>
      <t>工作表名称</t>
    </r>
    <phoneticPr fontId="3" type="noConversion"/>
  </si>
  <si>
    <r>
      <rPr>
        <sz val="11"/>
        <color theme="1"/>
        <rFont val="宋体"/>
        <family val="3"/>
        <charset val="134"/>
      </rPr>
      <t>导入质量定标</t>
    </r>
    <phoneticPr fontId="3" type="noConversion"/>
  </si>
  <si>
    <r>
      <rPr>
        <sz val="11"/>
        <color theme="1"/>
        <rFont val="宋体"/>
        <family val="3"/>
        <charset val="134"/>
      </rPr>
      <t>质量定标参数</t>
    </r>
  </si>
  <si>
    <r>
      <rPr>
        <sz val="11"/>
        <color theme="1"/>
        <rFont val="宋体"/>
        <family val="3"/>
        <charset val="134"/>
      </rPr>
      <t>导入卡峰文件</t>
    </r>
    <phoneticPr fontId="3" type="noConversion"/>
  </si>
  <si>
    <r>
      <rPr>
        <sz val="11"/>
        <color theme="1"/>
        <rFont val="宋体"/>
        <family val="3"/>
        <charset val="134"/>
      </rPr>
      <t>本底扣除范围</t>
    </r>
    <phoneticPr fontId="3" type="noConversion"/>
  </si>
  <si>
    <r>
      <rPr>
        <sz val="11"/>
        <color theme="1"/>
        <rFont val="宋体"/>
        <family val="3"/>
        <charset val="134"/>
      </rPr>
      <t>一些有用的函数</t>
    </r>
    <phoneticPr fontId="3" type="noConversion"/>
  </si>
  <si>
    <t>Copyright 2017 Jiuzhong Yang
Version 18.1.22_x86_cn
http://flame.nsrl.ustc.edu.cn/database/?data=Program</t>
    <phoneticPr fontId="3" type="noConversion"/>
  </si>
  <si>
    <t>Temperature (C)</t>
  </si>
  <si>
    <t>T</t>
    <phoneticPr fontId="3" type="noConversion"/>
  </si>
  <si>
    <t>Kr</t>
    <phoneticPr fontId="3" type="noConversion"/>
  </si>
  <si>
    <t>燃料消耗</t>
    <phoneticPr fontId="3" type="noConversion"/>
  </si>
  <si>
    <t>pz</t>
    <phoneticPr fontId="3" type="noConversion"/>
  </si>
  <si>
    <t>O2</t>
  </si>
  <si>
    <t>Kr</t>
  </si>
  <si>
    <t>FileType-txt___Mode-Exp___Repeat-No___PIBackGround-0___Normalization-Yes___PICorrection-Yes___Photodiode-SXUV___IsoSubtraction-Yes___IsoErrAlarm-Yes___MassDigits-3</t>
  </si>
  <si>
    <t>Fomula</t>
  </si>
  <si>
    <t>Number</t>
  </si>
  <si>
    <t>Energy (eV)</t>
  </si>
  <si>
    <t>Photon Intensity (nA)</t>
  </si>
  <si>
    <t>Beam Current (mA)</t>
  </si>
  <si>
    <t>Gap (mm)</t>
  </si>
  <si>
    <t>Time (sec)</t>
  </si>
  <si>
    <t>Burner Position (mm)</t>
  </si>
  <si>
    <t>DiffVac (Pa)</t>
  </si>
  <si>
    <t>IonVac (Pa)</t>
  </si>
  <si>
    <t>TOFVac (Pa)</t>
  </si>
  <si>
    <t>Corrected PI (nA)</t>
  </si>
  <si>
    <t>H2O</t>
  </si>
  <si>
    <t>燃料消耗2</t>
    <phoneticPr fontId="3" type="noConversion"/>
  </si>
  <si>
    <t>CO2</t>
  </si>
  <si>
    <t>CO</t>
  </si>
  <si>
    <t>AVG</t>
    <phoneticPr fontId="3" type="noConversion"/>
  </si>
  <si>
    <t>O2</t>
    <phoneticPr fontId="3" type="noConversion"/>
  </si>
  <si>
    <t>O2消耗</t>
    <phoneticPr fontId="3" type="noConversion"/>
  </si>
  <si>
    <t>O2消耗2</t>
    <phoneticPr fontId="3" type="noConversion"/>
  </si>
  <si>
    <t>11eV-fuel</t>
    <phoneticPr fontId="3" type="noConversion"/>
  </si>
  <si>
    <t>13eV-O2</t>
    <phoneticPr fontId="3" type="noConversion"/>
  </si>
  <si>
    <t>C10H10</t>
    <phoneticPr fontId="3" type="noConversion"/>
  </si>
  <si>
    <r>
      <t>E:\2023\202307\</t>
    </r>
    <r>
      <rPr>
        <sz val="11"/>
        <color theme="1"/>
        <rFont val="宋体"/>
        <family val="3"/>
        <charset val="134"/>
      </rPr>
      <t>上交苑文浩</t>
    </r>
    <r>
      <rPr>
        <sz val="11"/>
        <color theme="1"/>
        <rFont val="Times New Roman"/>
        <family val="1"/>
      </rPr>
      <t>\2-</t>
    </r>
    <r>
      <rPr>
        <sz val="11"/>
        <color theme="1"/>
        <rFont val="宋体"/>
        <family val="3"/>
        <charset val="134"/>
      </rPr>
      <t>甲基茚</t>
    </r>
    <r>
      <rPr>
        <sz val="11"/>
        <color theme="1"/>
        <rFont val="Times New Roman"/>
        <family val="1"/>
      </rPr>
      <t>\11.0eV\</t>
    </r>
    <phoneticPr fontId="3" type="noConversion"/>
  </si>
  <si>
    <t>E:\2023\202307\上交苑文浩\2-甲基茚\13.0eV\</t>
    <phoneticPr fontId="3" type="noConversion"/>
  </si>
  <si>
    <t>E:\2023\202307\上交苑文浩\2-甲基茚\14.61-14.79eV\</t>
    <phoneticPr fontId="3" type="noConversion"/>
  </si>
  <si>
    <r>
      <rPr>
        <sz val="11"/>
        <color theme="1"/>
        <rFont val="宋体"/>
        <family val="3"/>
        <charset val="134"/>
      </rPr>
      <t>注</t>
    </r>
    <r>
      <rPr>
        <sz val="11"/>
        <color theme="1"/>
        <rFont val="Times New Roman"/>
        <family val="2"/>
        <charset val="134"/>
      </rPr>
      <t>: 1150C</t>
    </r>
    <r>
      <rPr>
        <sz val="11"/>
        <color theme="1"/>
        <rFont val="宋体"/>
        <family val="3"/>
        <charset val="134"/>
      </rPr>
      <t>是降温回去重新采的谱</t>
    </r>
    <r>
      <rPr>
        <sz val="11"/>
        <color theme="1"/>
        <rFont val="Times New Roman"/>
        <family val="2"/>
        <charset val="134"/>
      </rPr>
      <t>,</t>
    </r>
    <r>
      <rPr>
        <sz val="11"/>
        <color theme="1"/>
        <rFont val="宋体"/>
        <family val="3"/>
        <charset val="134"/>
      </rPr>
      <t>因此衔接不好</t>
    </r>
    <phoneticPr fontId="3" type="noConversion"/>
  </si>
  <si>
    <t/>
  </si>
  <si>
    <t>FilePath:E:\2023\202307\中科大赵龙\C6F11O2H全氟己酸\14.7eV\</t>
  </si>
  <si>
    <t>H2O</t>
    <phoneticPr fontId="3" type="noConversion"/>
  </si>
  <si>
    <t>CO</t>
    <phoneticPr fontId="3" type="noConversion"/>
  </si>
  <si>
    <t>O2</t>
    <phoneticPr fontId="3" type="noConversion"/>
  </si>
  <si>
    <t>CO2</t>
    <phoneticPr fontId="3" type="noConversion"/>
  </si>
  <si>
    <t>Kr</t>
    <phoneticPr fontId="3" type="noConversion"/>
  </si>
  <si>
    <t>FilePath:E:\2023\202307\中科大赵龙\C6F11O2H全氟己酸\PIE(10-12)\</t>
  </si>
  <si>
    <t>FilePath:E:\2023\202307\中科大赵龙\C6F11O2H全氟己酸\230727\PIE(9.0-10.05)\</t>
  </si>
  <si>
    <t>FilePath:E:\2023\202307\中科大赵龙\C6F11O2H全氟己酸\230727\PIE(9.5-10)\</t>
  </si>
  <si>
    <r>
      <t>E:\2023\202307\</t>
    </r>
    <r>
      <rPr>
        <sz val="11"/>
        <color theme="1"/>
        <rFont val="宋体"/>
        <family val="3"/>
        <charset val="134"/>
      </rPr>
      <t>中科大赵龙</t>
    </r>
    <r>
      <rPr>
        <sz val="11"/>
        <color theme="1"/>
        <rFont val="Times New Roman"/>
        <family val="1"/>
      </rPr>
      <t>\C6F11O2H</t>
    </r>
    <r>
      <rPr>
        <sz val="11"/>
        <color theme="1"/>
        <rFont val="宋体"/>
        <family val="3"/>
        <charset val="134"/>
      </rPr>
      <t>全氟己酸</t>
    </r>
    <r>
      <rPr>
        <sz val="11"/>
        <color theme="1"/>
        <rFont val="Times New Roman"/>
        <family val="1"/>
      </rPr>
      <t>\230727\PIE(9.0-10.05)\</t>
    </r>
    <phoneticPr fontId="3" type="noConversion"/>
  </si>
  <si>
    <t>PIE(9.0-10.05)_5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</si>
</sst>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Times New Roman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Times New Roman"/>
      <family val="2"/>
      <charset val="134"/>
    </font>
    <font>
      <sz val="11"/>
      <color theme="1"/>
      <name val="宋体"/>
      <family val="3"/>
      <charset val="134"/>
    </font>
    <font>
      <sz val="11"/>
      <color theme="1"/>
      <name val="Times New Roman"/>
      <family val="1"/>
    </font>
    <font>
      <u/>
      <sz val="11"/>
      <color theme="10"/>
      <name val="Times New Roman"/>
      <family val="1"/>
    </font>
    <font>
      <sz val="11"/>
      <name val="Times New Roman"/>
      <family val="1"/>
    </font>
    <font>
      <sz val="9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indexed="10"/>
        <bgColor indexed="64"/>
      </patternFill>
    </fill>
  </fills>
  <borders count="8">
    <border>
      <left/>
      <right/>
      <top/>
      <bottom/>
      <diagonal/>
    </border>
    <border>
      <left/>
      <right style="dotted">
        <color indexed="55"/>
      </right>
      <top/>
      <bottom/>
      <diagonal/>
    </border>
    <border>
      <left style="dotted">
        <color indexed="55"/>
      </left>
      <right style="dotted">
        <color indexed="55"/>
      </right>
      <top/>
      <bottom/>
      <diagonal/>
    </border>
    <border>
      <left style="dotted">
        <color indexed="55"/>
      </left>
      <right/>
      <top/>
      <bottom/>
      <diagonal/>
    </border>
    <border>
      <left/>
      <right style="dotted">
        <color indexed="55"/>
      </right>
      <top/>
      <bottom style="dashDotDot">
        <color indexed="55"/>
      </bottom>
      <diagonal/>
    </border>
    <border>
      <left style="dotted">
        <color indexed="55"/>
      </left>
      <right style="dotted">
        <color indexed="55"/>
      </right>
      <top/>
      <bottom style="dashDotDot">
        <color indexed="55"/>
      </bottom>
      <diagonal/>
    </border>
    <border>
      <left style="dotted">
        <color indexed="55"/>
      </left>
      <right/>
      <top/>
      <bottom style="dashDotDot">
        <color indexed="55"/>
      </bottom>
      <diagonal/>
    </border>
    <border>
      <left/>
      <right/>
      <top/>
      <bottom style="dashDotDot">
        <color indexed="55"/>
      </bottom>
      <diagonal/>
    </border>
  </borders>
  <cellStyleXfs count="4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1" fillId="0" borderId="0">
      <alignment vertical="center"/>
    </xf>
  </cellStyleXfs>
  <cellXfs count="38">
    <xf numFmtId="0" fontId="0" fillId="0" borderId="0" xfId="0">
      <alignment vertical="center"/>
    </xf>
    <xf numFmtId="49" fontId="5" fillId="2" borderId="5" xfId="0" applyNumberFormat="1" applyFont="1" applyFill="1" applyBorder="1" applyAlignment="1">
      <alignment horizontal="center" vertical="top" wrapText="1"/>
    </xf>
    <xf numFmtId="49" fontId="5" fillId="2" borderId="2" xfId="0" applyNumberFormat="1" applyFont="1" applyFill="1" applyBorder="1" applyAlignment="1">
      <alignment vertical="top" wrapText="1"/>
    </xf>
    <xf numFmtId="49" fontId="5" fillId="2" borderId="5" xfId="0" applyNumberFormat="1" applyFont="1" applyFill="1" applyBorder="1" applyAlignment="1">
      <alignment horizontal="center" vertical="top"/>
    </xf>
    <xf numFmtId="49" fontId="7" fillId="2" borderId="2" xfId="0" applyNumberFormat="1" applyFont="1" applyFill="1" applyBorder="1" applyAlignment="1">
      <alignment vertical="top"/>
    </xf>
    <xf numFmtId="49" fontId="5" fillId="2" borderId="2" xfId="0" applyNumberFormat="1" applyFont="1" applyFill="1" applyBorder="1" applyAlignment="1">
      <alignment vertical="top"/>
    </xf>
    <xf numFmtId="49" fontId="5" fillId="2" borderId="2" xfId="0" applyNumberFormat="1" applyFont="1" applyFill="1" applyBorder="1" applyAlignment="1">
      <alignment horizontal="center" vertical="top"/>
    </xf>
    <xf numFmtId="0" fontId="5" fillId="2" borderId="5" xfId="0" applyNumberFormat="1" applyFont="1" applyFill="1" applyBorder="1" applyAlignment="1">
      <alignment horizontal="center" vertical="top"/>
    </xf>
    <xf numFmtId="0" fontId="5" fillId="2" borderId="5" xfId="0" applyNumberFormat="1" applyFont="1" applyFill="1" applyBorder="1" applyAlignment="1">
      <alignment horizontal="center" vertical="center"/>
    </xf>
    <xf numFmtId="0" fontId="5" fillId="2" borderId="6" xfId="0" applyNumberFormat="1" applyFont="1" applyFill="1" applyBorder="1" applyAlignment="1">
      <alignment vertical="top"/>
    </xf>
    <xf numFmtId="0" fontId="5" fillId="2" borderId="7" xfId="0" applyNumberFormat="1" applyFont="1" applyFill="1" applyBorder="1" applyAlignment="1">
      <alignment vertical="top"/>
    </xf>
    <xf numFmtId="0" fontId="5" fillId="2" borderId="2" xfId="0" applyNumberFormat="1" applyFont="1" applyFill="1" applyBorder="1" applyAlignment="1">
      <alignment vertical="top"/>
    </xf>
    <xf numFmtId="0" fontId="7" fillId="2" borderId="2" xfId="0" applyNumberFormat="1" applyFont="1" applyFill="1" applyBorder="1" applyAlignment="1">
      <alignment vertical="top"/>
    </xf>
    <xf numFmtId="0" fontId="5" fillId="2" borderId="3" xfId="0" applyNumberFormat="1" applyFont="1" applyFill="1" applyBorder="1" applyAlignment="1">
      <alignment vertical="top"/>
    </xf>
    <xf numFmtId="0" fontId="6" fillId="0" borderId="7" xfId="1" applyNumberFormat="1" applyFill="1" applyBorder="1" applyAlignment="1" applyProtection="1">
      <alignment vertical="center" wrapText="1"/>
    </xf>
    <xf numFmtId="0" fontId="5" fillId="0" borderId="4" xfId="0" applyNumberFormat="1" applyFont="1" applyFill="1" applyBorder="1" applyAlignment="1">
      <alignment vertical="top"/>
    </xf>
    <xf numFmtId="0" fontId="5" fillId="0" borderId="5" xfId="0" applyNumberFormat="1" applyFont="1" applyFill="1" applyBorder="1" applyAlignment="1">
      <alignment horizontal="center" vertical="center" wrapText="1"/>
    </xf>
    <xf numFmtId="0" fontId="5" fillId="0" borderId="1" xfId="0" applyNumberFormat="1" applyFont="1" applyFill="1" applyBorder="1" applyAlignment="1">
      <alignment vertical="top"/>
    </xf>
    <xf numFmtId="0" fontId="5" fillId="0" borderId="2" xfId="0" applyNumberFormat="1" applyFont="1" applyFill="1" applyBorder="1" applyAlignment="1">
      <alignment vertical="top" wrapText="1"/>
    </xf>
    <xf numFmtId="0" fontId="5" fillId="0" borderId="5" xfId="0" applyNumberFormat="1" applyFont="1" applyFill="1" applyBorder="1" applyAlignment="1">
      <alignment horizontal="center" vertical="top"/>
    </xf>
    <xf numFmtId="0" fontId="5" fillId="0" borderId="2" xfId="0" applyNumberFormat="1" applyFont="1" applyFill="1" applyBorder="1" applyAlignment="1">
      <alignment vertical="top"/>
    </xf>
    <xf numFmtId="0" fontId="5" fillId="0" borderId="2" xfId="0" applyNumberFormat="1" applyFont="1" applyFill="1" applyBorder="1" applyAlignment="1">
      <alignment horizontal="center" vertical="top"/>
    </xf>
    <xf numFmtId="49" fontId="5" fillId="0" borderId="5" xfId="0" applyNumberFormat="1" applyFont="1" applyFill="1" applyBorder="1" applyAlignment="1">
      <alignment horizontal="center" vertical="center"/>
    </xf>
    <xf numFmtId="0" fontId="5" fillId="0" borderId="5" xfId="0" applyNumberFormat="1" applyFont="1" applyFill="1" applyBorder="1" applyAlignment="1">
      <alignment horizontal="center" vertical="center"/>
    </xf>
    <xf numFmtId="49" fontId="5" fillId="0" borderId="2" xfId="0" applyNumberFormat="1" applyFont="1" applyFill="1" applyBorder="1" applyAlignment="1">
      <alignment vertical="top"/>
    </xf>
    <xf numFmtId="0" fontId="5" fillId="0" borderId="3" xfId="0" applyNumberFormat="1" applyFont="1" applyFill="1" applyBorder="1" applyAlignment="1">
      <alignment vertical="top"/>
    </xf>
    <xf numFmtId="0" fontId="5" fillId="0" borderId="0" xfId="0" applyNumberFormat="1" applyFont="1" applyFill="1" applyBorder="1" applyAlignment="1">
      <alignment vertical="top"/>
    </xf>
    <xf numFmtId="0" fontId="5" fillId="2" borderId="0" xfId="0" applyNumberFormat="1" applyFont="1" applyFill="1" applyBorder="1" applyAlignment="1">
      <alignment vertical="top"/>
    </xf>
    <xf numFmtId="0" fontId="5" fillId="0" borderId="0" xfId="0" applyNumberFormat="1" applyFont="1" applyFill="1" applyBorder="1" applyAlignment="1">
      <alignment vertical="top" wrapText="1"/>
    </xf>
    <xf numFmtId="49" fontId="6" fillId="2" borderId="2" xfId="1" applyNumberFormat="1" applyFill="1" applyBorder="1" applyAlignment="1" applyProtection="1">
      <alignment vertical="top"/>
    </xf>
    <xf numFmtId="49" fontId="7" fillId="2" borderId="2" xfId="1" applyNumberFormat="1" applyFont="1" applyFill="1" applyBorder="1" applyAlignment="1" applyProtection="1">
      <alignment vertical="top"/>
    </xf>
    <xf numFmtId="0" fontId="0" fillId="0" borderId="2" xfId="0" applyNumberFormat="1" applyFill="1" applyBorder="1" applyAlignment="1">
      <alignment vertical="top"/>
    </xf>
    <xf numFmtId="0" fontId="0" fillId="0" borderId="0" xfId="0" applyNumberFormat="1">
      <alignment vertical="center"/>
    </xf>
    <xf numFmtId="0" fontId="4" fillId="0" borderId="0" xfId="0" applyFont="1">
      <alignment vertical="center"/>
    </xf>
    <xf numFmtId="11" fontId="0" fillId="0" borderId="0" xfId="0" applyNumberFormat="1">
      <alignment vertical="center"/>
    </xf>
    <xf numFmtId="49" fontId="5" fillId="3" borderId="2" xfId="0" applyNumberFormat="1" applyFont="1" applyFill="1" applyBorder="1" applyAlignment="1">
      <alignment vertical="top"/>
    </xf>
    <xf numFmtId="0" fontId="5" fillId="0" borderId="7" xfId="0" applyNumberFormat="1" applyFont="1" applyFill="1" applyBorder="1" applyAlignment="1">
      <alignment horizontal="center" vertical="center"/>
    </xf>
    <xf numFmtId="0" fontId="5" fillId="0" borderId="7" xfId="0" applyNumberFormat="1" applyFont="1" applyFill="1" applyBorder="1" applyAlignment="1">
      <alignment horizontal="center" vertical="top"/>
    </xf>
  </cellXfs>
  <cellStyles count="4">
    <cellStyle name="常规" xfId="0" builtinId="0"/>
    <cellStyle name="常规 2" xfId="2"/>
    <cellStyle name="常规 5" xfId="3"/>
    <cellStyle name="超链接" xfId="1" builtinId="8"/>
  </cellStyles>
  <dxfs count="0"/>
  <tableStyles count="0" defaultTableStyle="TableStyleMedium9" defaultPivotStyle="PivotStyleLight16"/>
  <colors>
    <mruColors>
      <color rgb="FF96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处理!$Y$1</c:f>
              <c:strCache>
                <c:ptCount val="1"/>
                <c:pt idx="0">
                  <c:v>燃料消耗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处理!$T$2:$T$17</c:f>
              <c:numCache>
                <c:formatCode>General</c:formatCode>
                <c:ptCount val="16"/>
                <c:pt idx="0">
                  <c:v>700</c:v>
                </c:pt>
                <c:pt idx="1">
                  <c:v>800</c:v>
                </c:pt>
                <c:pt idx="2">
                  <c:v>850</c:v>
                </c:pt>
                <c:pt idx="3">
                  <c:v>875</c:v>
                </c:pt>
                <c:pt idx="4">
                  <c:v>900</c:v>
                </c:pt>
                <c:pt idx="5">
                  <c:v>925</c:v>
                </c:pt>
                <c:pt idx="6">
                  <c:v>950</c:v>
                </c:pt>
                <c:pt idx="7">
                  <c:v>975</c:v>
                </c:pt>
                <c:pt idx="8">
                  <c:v>1000</c:v>
                </c:pt>
                <c:pt idx="9">
                  <c:v>1025</c:v>
                </c:pt>
                <c:pt idx="10">
                  <c:v>1050</c:v>
                </c:pt>
                <c:pt idx="11">
                  <c:v>1075</c:v>
                </c:pt>
                <c:pt idx="12">
                  <c:v>1100</c:v>
                </c:pt>
                <c:pt idx="13">
                  <c:v>1125</c:v>
                </c:pt>
                <c:pt idx="14">
                  <c:v>1150</c:v>
                </c:pt>
                <c:pt idx="15">
                  <c:v>1175</c:v>
                </c:pt>
              </c:numCache>
            </c:numRef>
          </c:xVal>
          <c:yVal>
            <c:numRef>
              <c:f>处理!$Y$3:$Y$17</c:f>
              <c:numCache>
                <c:formatCode>General</c:formatCode>
                <c:ptCount val="15"/>
                <c:pt idx="0">
                  <c:v>0.97259320667081695</c:v>
                </c:pt>
                <c:pt idx="1">
                  <c:v>0.88511975349834937</c:v>
                </c:pt>
                <c:pt idx="2">
                  <c:v>0.77011582402718404</c:v>
                </c:pt>
                <c:pt idx="3">
                  <c:v>0.73951922411971116</c:v>
                </c:pt>
                <c:pt idx="4">
                  <c:v>0.63845394564924729</c:v>
                </c:pt>
                <c:pt idx="5">
                  <c:v>0.40137212305115538</c:v>
                </c:pt>
                <c:pt idx="6">
                  <c:v>0.35685159570709335</c:v>
                </c:pt>
                <c:pt idx="7">
                  <c:v>0.31799734580420436</c:v>
                </c:pt>
                <c:pt idx="8">
                  <c:v>0.23189074123429548</c:v>
                </c:pt>
                <c:pt idx="9">
                  <c:v>0.22242891712073662</c:v>
                </c:pt>
                <c:pt idx="10">
                  <c:v>0.16982086511482528</c:v>
                </c:pt>
                <c:pt idx="11">
                  <c:v>0.11150969388277072</c:v>
                </c:pt>
                <c:pt idx="12">
                  <c:v>6.3464632309500349E-2</c:v>
                </c:pt>
                <c:pt idx="13">
                  <c:v>5.6807013670958639E-2</c:v>
                </c:pt>
                <c:pt idx="14">
                  <c:v>5.23528266533883E-2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303640"/>
        <c:axId val="380304032"/>
      </c:scatterChart>
      <c:valAx>
        <c:axId val="380303640"/>
        <c:scaling>
          <c:orientation val="minMax"/>
          <c:max val="1200"/>
          <c:min val="6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0304032"/>
        <c:crosses val="autoZero"/>
        <c:crossBetween val="midCat"/>
      </c:valAx>
      <c:valAx>
        <c:axId val="38030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0303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O2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处理!$T$26:$T$41</c:f>
              <c:numCache>
                <c:formatCode>General</c:formatCode>
                <c:ptCount val="16"/>
                <c:pt idx="0">
                  <c:v>700</c:v>
                </c:pt>
                <c:pt idx="1">
                  <c:v>800</c:v>
                </c:pt>
                <c:pt idx="2">
                  <c:v>850</c:v>
                </c:pt>
                <c:pt idx="3">
                  <c:v>875</c:v>
                </c:pt>
                <c:pt idx="4">
                  <c:v>900</c:v>
                </c:pt>
                <c:pt idx="5">
                  <c:v>925</c:v>
                </c:pt>
                <c:pt idx="6">
                  <c:v>950</c:v>
                </c:pt>
                <c:pt idx="7">
                  <c:v>975</c:v>
                </c:pt>
                <c:pt idx="8">
                  <c:v>1000</c:v>
                </c:pt>
                <c:pt idx="9">
                  <c:v>1025</c:v>
                </c:pt>
                <c:pt idx="10">
                  <c:v>1050</c:v>
                </c:pt>
                <c:pt idx="11">
                  <c:v>1075</c:v>
                </c:pt>
                <c:pt idx="12">
                  <c:v>1100</c:v>
                </c:pt>
                <c:pt idx="13">
                  <c:v>1125</c:v>
                </c:pt>
                <c:pt idx="14">
                  <c:v>1150</c:v>
                </c:pt>
                <c:pt idx="15">
                  <c:v>1175</c:v>
                </c:pt>
              </c:numCache>
            </c:numRef>
          </c:xVal>
          <c:yVal>
            <c:numRef>
              <c:f>处理!$Y$26:$Y$41</c:f>
              <c:numCache>
                <c:formatCode>General</c:formatCode>
                <c:ptCount val="16"/>
                <c:pt idx="0">
                  <c:v>1</c:v>
                </c:pt>
                <c:pt idx="1">
                  <c:v>1.0958142481450168</c:v>
                </c:pt>
                <c:pt idx="2">
                  <c:v>1.0407618214505505</c:v>
                </c:pt>
                <c:pt idx="3">
                  <c:v>0.98816295729416248</c:v>
                </c:pt>
                <c:pt idx="4">
                  <c:v>1.0754586774917654</c:v>
                </c:pt>
                <c:pt idx="5">
                  <c:v>1.0410309559495821</c:v>
                </c:pt>
                <c:pt idx="6">
                  <c:v>0.98728964243968309</c:v>
                </c:pt>
                <c:pt idx="7">
                  <c:v>0.98838599348394518</c:v>
                </c:pt>
                <c:pt idx="8">
                  <c:v>0.98600093459088622</c:v>
                </c:pt>
                <c:pt idx="9">
                  <c:v>0.95984327241560197</c:v>
                </c:pt>
                <c:pt idx="10">
                  <c:v>0.9327116247947832</c:v>
                </c:pt>
                <c:pt idx="11">
                  <c:v>1.0363576532263994</c:v>
                </c:pt>
                <c:pt idx="12">
                  <c:v>0.99010402873055636</c:v>
                </c:pt>
                <c:pt idx="13">
                  <c:v>0.85621943794251221</c:v>
                </c:pt>
                <c:pt idx="14">
                  <c:v>1.0127517770383621</c:v>
                </c:pt>
                <c:pt idx="15">
                  <c:v>0.97839648857161177</c:v>
                </c:pt>
              </c:numCache>
            </c:numRef>
          </c:y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处理!$B$45:$B$60</c:f>
              <c:numCache>
                <c:formatCode>General</c:formatCode>
                <c:ptCount val="16"/>
                <c:pt idx="0">
                  <c:v>700</c:v>
                </c:pt>
                <c:pt idx="1">
                  <c:v>800</c:v>
                </c:pt>
                <c:pt idx="2">
                  <c:v>850</c:v>
                </c:pt>
                <c:pt idx="3">
                  <c:v>875</c:v>
                </c:pt>
                <c:pt idx="4">
                  <c:v>900</c:v>
                </c:pt>
                <c:pt idx="5">
                  <c:v>925</c:v>
                </c:pt>
                <c:pt idx="6">
                  <c:v>950</c:v>
                </c:pt>
                <c:pt idx="7">
                  <c:v>975</c:v>
                </c:pt>
                <c:pt idx="8">
                  <c:v>1000</c:v>
                </c:pt>
                <c:pt idx="9">
                  <c:v>1025</c:v>
                </c:pt>
                <c:pt idx="10">
                  <c:v>1050</c:v>
                </c:pt>
                <c:pt idx="11">
                  <c:v>1075</c:v>
                </c:pt>
                <c:pt idx="12">
                  <c:v>1100</c:v>
                </c:pt>
                <c:pt idx="13">
                  <c:v>1125</c:v>
                </c:pt>
                <c:pt idx="14">
                  <c:v>1150</c:v>
                </c:pt>
                <c:pt idx="15">
                  <c:v>1175</c:v>
                </c:pt>
              </c:numCache>
            </c:numRef>
          </c:xVal>
          <c:yVal>
            <c:numRef>
              <c:f>处理!$Z$26:$Z$41</c:f>
              <c:numCache>
                <c:formatCode>General</c:formatCode>
                <c:ptCount val="16"/>
                <c:pt idx="0">
                  <c:v>1</c:v>
                </c:pt>
                <c:pt idx="1">
                  <c:v>1.020053339150846</c:v>
                </c:pt>
                <c:pt idx="2">
                  <c:v>0.95347585202538554</c:v>
                </c:pt>
                <c:pt idx="3">
                  <c:v>0.9825759943027913</c:v>
                </c:pt>
                <c:pt idx="4">
                  <c:v>1.0077800964879513</c:v>
                </c:pt>
                <c:pt idx="5">
                  <c:v>0.9642988322761844</c:v>
                </c:pt>
                <c:pt idx="6">
                  <c:v>0.97956798733803507</c:v>
                </c:pt>
                <c:pt idx="7">
                  <c:v>0.94628013413314038</c:v>
                </c:pt>
                <c:pt idx="8">
                  <c:v>0.91343575684785794</c:v>
                </c:pt>
                <c:pt idx="9">
                  <c:v>0.97556798722492366</c:v>
                </c:pt>
                <c:pt idx="10">
                  <c:v>0.95912292574724145</c:v>
                </c:pt>
                <c:pt idx="11">
                  <c:v>0.97531023979632048</c:v>
                </c:pt>
                <c:pt idx="12">
                  <c:v>0.9239859317903496</c:v>
                </c:pt>
                <c:pt idx="13">
                  <c:v>0.88060309535355852</c:v>
                </c:pt>
                <c:pt idx="14">
                  <c:v>0.66330149553257611</c:v>
                </c:pt>
                <c:pt idx="15">
                  <c:v>0.90743498729775462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305208"/>
        <c:axId val="380305600"/>
      </c:scatterChart>
      <c:valAx>
        <c:axId val="380305208"/>
        <c:scaling>
          <c:orientation val="minMax"/>
          <c:min val="6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0305600"/>
        <c:crosses val="autoZero"/>
        <c:crossBetween val="midCat"/>
      </c:valAx>
      <c:valAx>
        <c:axId val="3803056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0305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燃料</a:t>
            </a:r>
            <a:r>
              <a:rPr lang="en-US" altLang="zh-CN"/>
              <a:t>-11eV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处理!$T$2:$T$17</c:f>
              <c:numCache>
                <c:formatCode>General</c:formatCode>
                <c:ptCount val="16"/>
                <c:pt idx="0">
                  <c:v>700</c:v>
                </c:pt>
                <c:pt idx="1">
                  <c:v>800</c:v>
                </c:pt>
                <c:pt idx="2">
                  <c:v>850</c:v>
                </c:pt>
                <c:pt idx="3">
                  <c:v>875</c:v>
                </c:pt>
                <c:pt idx="4">
                  <c:v>900</c:v>
                </c:pt>
                <c:pt idx="5">
                  <c:v>925</c:v>
                </c:pt>
                <c:pt idx="6">
                  <c:v>950</c:v>
                </c:pt>
                <c:pt idx="7">
                  <c:v>975</c:v>
                </c:pt>
                <c:pt idx="8">
                  <c:v>1000</c:v>
                </c:pt>
                <c:pt idx="9">
                  <c:v>1025</c:v>
                </c:pt>
                <c:pt idx="10">
                  <c:v>1050</c:v>
                </c:pt>
                <c:pt idx="11">
                  <c:v>1075</c:v>
                </c:pt>
                <c:pt idx="12">
                  <c:v>1100</c:v>
                </c:pt>
                <c:pt idx="13">
                  <c:v>1125</c:v>
                </c:pt>
                <c:pt idx="14">
                  <c:v>1150</c:v>
                </c:pt>
                <c:pt idx="15">
                  <c:v>1175</c:v>
                </c:pt>
              </c:numCache>
            </c:numRef>
          </c:xVal>
          <c:yVal>
            <c:numRef>
              <c:f>处理!$Z$2:$Z$17</c:f>
              <c:numCache>
                <c:formatCode>General</c:formatCode>
                <c:ptCount val="16"/>
                <c:pt idx="0">
                  <c:v>1</c:v>
                </c:pt>
                <c:pt idx="1">
                  <c:v>0.97037575050691682</c:v>
                </c:pt>
                <c:pt idx="2">
                  <c:v>0.83802954794604723</c:v>
                </c:pt>
                <c:pt idx="3">
                  <c:v>0.78838230437441348</c:v>
                </c:pt>
                <c:pt idx="4">
                  <c:v>0.66516398389346942</c:v>
                </c:pt>
                <c:pt idx="5">
                  <c:v>0.57579091992160381</c:v>
                </c:pt>
                <c:pt idx="6">
                  <c:v>0.48123490135374297</c:v>
                </c:pt>
                <c:pt idx="7">
                  <c:v>0.32574442378937163</c:v>
                </c:pt>
                <c:pt idx="8">
                  <c:v>0.29038719096205634</c:v>
                </c:pt>
                <c:pt idx="9">
                  <c:v>0.24792172333360185</c:v>
                </c:pt>
                <c:pt idx="10">
                  <c:v>0.22860040224675365</c:v>
                </c:pt>
                <c:pt idx="11">
                  <c:v>0.20716520418655382</c:v>
                </c:pt>
                <c:pt idx="12">
                  <c:v>0.11198534518539796</c:v>
                </c:pt>
                <c:pt idx="13">
                  <c:v>8.493697387339065E-2</c:v>
                </c:pt>
                <c:pt idx="14">
                  <c:v>8.0606681425535967E-2</c:v>
                </c:pt>
                <c:pt idx="15">
                  <c:v>5.0416188542458266E-2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304816"/>
        <c:axId val="380303248"/>
      </c:scatterChart>
      <c:valAx>
        <c:axId val="380304816"/>
        <c:scaling>
          <c:orientation val="minMax"/>
          <c:min val="6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0303248"/>
        <c:crosses val="autoZero"/>
        <c:crossBetween val="midCat"/>
      </c:valAx>
      <c:valAx>
        <c:axId val="38030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0304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983792"/>
        <c:axId val="391984576"/>
      </c:barChart>
      <c:catAx>
        <c:axId val="391983792"/>
        <c:scaling>
          <c:orientation val="minMax"/>
        </c:scaling>
        <c:delete val="0"/>
        <c:axPos val="b"/>
        <c:majorTickMark val="out"/>
        <c:minorTickMark val="none"/>
        <c:tickLblPos val="nextTo"/>
        <c:crossAx val="391984576"/>
        <c:crosses val="autoZero"/>
        <c:auto val="1"/>
        <c:lblAlgn val="ctr"/>
        <c:lblOffset val="100"/>
        <c:noMultiLvlLbl val="0"/>
      </c:catAx>
      <c:valAx>
        <c:axId val="3919845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3919837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/>
          </c:tx>
          <c:xVal>
            <c:numRef>
              <c:f>'PIE(9.0-10.05)_3'!$M$3:$M$7</c:f>
              <c:numCache>
                <c:formatCode>General</c:formatCode>
                <c:ptCount val="5"/>
                <c:pt idx="0">
                  <c:v>8.9999897437360001</c:v>
                </c:pt>
                <c:pt idx="1">
                  <c:v>9.0498997713300007</c:v>
                </c:pt>
                <c:pt idx="2">
                  <c:v>9.0999967393749994</c:v>
                </c:pt>
                <c:pt idx="3">
                  <c:v>9.1498388581590007</c:v>
                </c:pt>
                <c:pt idx="4">
                  <c:v>9.1995071281970002</c:v>
                </c:pt>
              </c:numCache>
            </c:numRef>
          </c:xVal>
          <c:yVal>
            <c:numRef>
              <c:f>'PIE(9.0-10.05)_3'!$S$3:$S$7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1.0191744007455474E-4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616664"/>
        <c:axId val="450615488"/>
      </c:scatterChart>
      <c:valAx>
        <c:axId val="450616664"/>
        <c:scaling>
          <c:orientation val="minMax"/>
          <c:max val="9.3000000000000007"/>
          <c:min val="8.9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450615488"/>
        <c:crosses val="autoZero"/>
        <c:crossBetween val="midCat"/>
      </c:valAx>
      <c:valAx>
        <c:axId val="450615488"/>
        <c:scaling>
          <c:orientation val="minMax"/>
          <c:min val="0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nextTo"/>
        <c:crossAx val="4506166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6991040"/>
        <c:axId val="556990648"/>
      </c:barChart>
      <c:catAx>
        <c:axId val="55699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556990648"/>
        <c:crosses val="autoZero"/>
        <c:auto val="1"/>
        <c:lblAlgn val="ctr"/>
        <c:lblOffset val="100"/>
        <c:noMultiLvlLbl val="0"/>
      </c:catAx>
      <c:valAx>
        <c:axId val="55699064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569910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/>
          </c:tx>
          <c:xVal>
            <c:numRef>
              <c:f>'PIE(9.0-10.05)'!$M$3:$M$8</c:f>
              <c:numCache>
                <c:formatCode>General</c:formatCode>
                <c:ptCount val="6"/>
                <c:pt idx="0">
                  <c:v>8.9999897437360001</c:v>
                </c:pt>
                <c:pt idx="1">
                  <c:v>9.0498997713300007</c:v>
                </c:pt>
                <c:pt idx="2">
                  <c:v>9.0999967393749994</c:v>
                </c:pt>
                <c:pt idx="3">
                  <c:v>9.1498388581590007</c:v>
                </c:pt>
                <c:pt idx="4">
                  <c:v>9.1995071281970002</c:v>
                </c:pt>
                <c:pt idx="5">
                  <c:v>9.2496179326700005</c:v>
                </c:pt>
              </c:numCache>
            </c:numRef>
          </c:xVal>
          <c:yVal>
            <c:numRef>
              <c:f>'PIE(9.0-10.05)'!$T$3:$T$8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01704"/>
        <c:axId val="456498568"/>
      </c:scatterChart>
      <c:valAx>
        <c:axId val="456501704"/>
        <c:scaling>
          <c:orientation val="minMax"/>
          <c:max val="9.4"/>
          <c:min val="8.9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456498568"/>
        <c:crosses val="autoZero"/>
        <c:crossBetween val="midCat"/>
      </c:valAx>
      <c:valAx>
        <c:axId val="456498568"/>
        <c:scaling>
          <c:orientation val="minMax"/>
          <c:min val="0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nextTo"/>
        <c:crossAx val="4565017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6495432"/>
        <c:axId val="456495824"/>
      </c:barChart>
      <c:catAx>
        <c:axId val="456495432"/>
        <c:scaling>
          <c:orientation val="minMax"/>
        </c:scaling>
        <c:delete val="0"/>
        <c:axPos val="b"/>
        <c:majorTickMark val="out"/>
        <c:minorTickMark val="none"/>
        <c:tickLblPos val="nextTo"/>
        <c:crossAx val="456495824"/>
        <c:crosses val="autoZero"/>
        <c:auto val="1"/>
        <c:lblAlgn val="ctr"/>
        <c:lblOffset val="100"/>
        <c:noMultiLvlLbl val="0"/>
      </c:catAx>
      <c:valAx>
        <c:axId val="45649582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564954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/>
          </c:tx>
          <c:xVal>
            <c:numRef>
              <c:f>'PIE(10-12)'!$M$3:$M$43</c:f>
              <c:numCache>
                <c:formatCode>General</c:formatCode>
                <c:ptCount val="41"/>
                <c:pt idx="0">
                  <c:v>9.9994825149099995</c:v>
                </c:pt>
                <c:pt idx="1">
                  <c:v>10.050042608564</c:v>
                </c:pt>
                <c:pt idx="2">
                  <c:v>10.09955227006</c:v>
                </c:pt>
                <c:pt idx="3">
                  <c:v>10.149932065787</c:v>
                </c:pt>
                <c:pt idx="4">
                  <c:v>10.199564911828</c:v>
                </c:pt>
                <c:pt idx="5">
                  <c:v>10.249746724015001</c:v>
                </c:pt>
                <c:pt idx="6">
                  <c:v>10.299786396188001</c:v>
                </c:pt>
                <c:pt idx="7">
                  <c:v>10.349651696549</c:v>
                </c:pt>
                <c:pt idx="8">
                  <c:v>10.399834231831999</c:v>
                </c:pt>
                <c:pt idx="9">
                  <c:v>10.449488358305</c:v>
                </c:pt>
                <c:pt idx="10">
                  <c:v>10.499511918607</c:v>
                </c:pt>
                <c:pt idx="11">
                  <c:v>10.549865500411</c:v>
                </c:pt>
                <c:pt idx="12">
                  <c:v>10.599679313067</c:v>
                </c:pt>
                <c:pt idx="13">
                  <c:v>10.650031820245999</c:v>
                </c:pt>
                <c:pt idx="14">
                  <c:v>10.699887134479001</c:v>
                </c:pt>
                <c:pt idx="15">
                  <c:v>10.749964670425999</c:v>
                </c:pt>
                <c:pt idx="16">
                  <c:v>10.799630186829001</c:v>
                </c:pt>
                <c:pt idx="17">
                  <c:v>10.849619656598</c:v>
                </c:pt>
                <c:pt idx="18">
                  <c:v>10.899635912628</c:v>
                </c:pt>
                <c:pt idx="19">
                  <c:v>10.949463825786999</c:v>
                </c:pt>
                <c:pt idx="20">
                  <c:v>10.999373660594999</c:v>
                </c:pt>
                <c:pt idx="21">
                  <c:v>11.049716877751001</c:v>
                </c:pt>
                <c:pt idx="22">
                  <c:v>11.099853399863999</c:v>
                </c:pt>
                <c:pt idx="23">
                  <c:v>11.152426230863</c:v>
                </c:pt>
                <c:pt idx="24">
                  <c:v>11.199896698266</c:v>
                </c:pt>
                <c:pt idx="25">
                  <c:v>11.250057197706999</c:v>
                </c:pt>
                <c:pt idx="26">
                  <c:v>11.299479338816999</c:v>
                </c:pt>
                <c:pt idx="27">
                  <c:v>11.349212617671</c:v>
                </c:pt>
                <c:pt idx="28">
                  <c:v>11.399234288075</c:v>
                </c:pt>
                <c:pt idx="29">
                  <c:v>11.449800635673</c:v>
                </c:pt>
                <c:pt idx="30">
                  <c:v>11.499508402167001</c:v>
                </c:pt>
                <c:pt idx="31">
                  <c:v>11.549960361678</c:v>
                </c:pt>
                <c:pt idx="32">
                  <c:v>11.599655478452</c:v>
                </c:pt>
                <c:pt idx="33">
                  <c:v>11.649885454166</c:v>
                </c:pt>
                <c:pt idx="34">
                  <c:v>11.699542657568999</c:v>
                </c:pt>
                <c:pt idx="35">
                  <c:v>11.750000157783001</c:v>
                </c:pt>
                <c:pt idx="36">
                  <c:v>11.799219101348999</c:v>
                </c:pt>
                <c:pt idx="37">
                  <c:v>11.849751466787</c:v>
                </c:pt>
                <c:pt idx="38">
                  <c:v>11.899261733971001</c:v>
                </c:pt>
                <c:pt idx="39">
                  <c:v>11.94929831987</c:v>
                </c:pt>
                <c:pt idx="40">
                  <c:v>12.000120845152001</c:v>
                </c:pt>
              </c:numCache>
            </c:numRef>
          </c:xVal>
          <c:yVal>
            <c:numRef>
              <c:f>'PIE(10-12)'!$T$3:$T$43</c:f>
              <c:numCache>
                <c:formatCode>General</c:formatCode>
                <c:ptCount val="41"/>
                <c:pt idx="0">
                  <c:v>8.2835399317337686E-4</c:v>
                </c:pt>
                <c:pt idx="1">
                  <c:v>8.3282999752544321E-4</c:v>
                </c:pt>
                <c:pt idx="2">
                  <c:v>4.1865070344378376E-4</c:v>
                </c:pt>
                <c:pt idx="3">
                  <c:v>0</c:v>
                </c:pt>
                <c:pt idx="4">
                  <c:v>0</c:v>
                </c:pt>
                <c:pt idx="5">
                  <c:v>8.4059278173427901E-4</c:v>
                </c:pt>
                <c:pt idx="6">
                  <c:v>8.4249082784385303E-4</c:v>
                </c:pt>
                <c:pt idx="7">
                  <c:v>3.4013313536076823E-3</c:v>
                </c:pt>
                <c:pt idx="8">
                  <c:v>6.4517300786022882E-4</c:v>
                </c:pt>
                <c:pt idx="9">
                  <c:v>1.7055826004564569E-3</c:v>
                </c:pt>
                <c:pt idx="10">
                  <c:v>4.3040456672431508E-3</c:v>
                </c:pt>
                <c:pt idx="11">
                  <c:v>3.0451116922342288E-3</c:v>
                </c:pt>
                <c:pt idx="12">
                  <c:v>5.6044016218733993E-3</c:v>
                </c:pt>
                <c:pt idx="13">
                  <c:v>6.5353013941334389E-3</c:v>
                </c:pt>
                <c:pt idx="14">
                  <c:v>3.5221184488441219E-3</c:v>
                </c:pt>
                <c:pt idx="15">
                  <c:v>7.0475547747922774E-3</c:v>
                </c:pt>
                <c:pt idx="16">
                  <c:v>9.7592562251423223E-3</c:v>
                </c:pt>
                <c:pt idx="17">
                  <c:v>5.6286361599450383E-3</c:v>
                </c:pt>
                <c:pt idx="18">
                  <c:v>1.7960851822956692E-2</c:v>
                </c:pt>
                <c:pt idx="19">
                  <c:v>1.3659825803603143E-2</c:v>
                </c:pt>
                <c:pt idx="20">
                  <c:v>1.6620972792018358E-2</c:v>
                </c:pt>
                <c:pt idx="21">
                  <c:v>1.5338758700566177E-2</c:v>
                </c:pt>
                <c:pt idx="22">
                  <c:v>2.8942459486693523E-2</c:v>
                </c:pt>
                <c:pt idx="23">
                  <c:v>2.6335734342070177E-2</c:v>
                </c:pt>
                <c:pt idx="24">
                  <c:v>1.6879979634362642E-2</c:v>
                </c:pt>
                <c:pt idx="25">
                  <c:v>1.6361223865019307E-2</c:v>
                </c:pt>
                <c:pt idx="26">
                  <c:v>2.0595450601483163E-2</c:v>
                </c:pt>
                <c:pt idx="27">
                  <c:v>1.6715278061919418E-2</c:v>
                </c:pt>
                <c:pt idx="28">
                  <c:v>2.3157466139664448E-2</c:v>
                </c:pt>
                <c:pt idx="29">
                  <c:v>1.9501650730872178E-2</c:v>
                </c:pt>
                <c:pt idx="30">
                  <c:v>1.9772208348492536E-2</c:v>
                </c:pt>
                <c:pt idx="31">
                  <c:v>2.0711255891193422E-2</c:v>
                </c:pt>
                <c:pt idx="32">
                  <c:v>2.7864975973550903E-2</c:v>
                </c:pt>
                <c:pt idx="33">
                  <c:v>1.4933413706633939E-3</c:v>
                </c:pt>
                <c:pt idx="34">
                  <c:v>1.7105542966794229E-2</c:v>
                </c:pt>
                <c:pt idx="35">
                  <c:v>1.253988414720688E-2</c:v>
                </c:pt>
                <c:pt idx="36">
                  <c:v>1.2406691965669157E-2</c:v>
                </c:pt>
                <c:pt idx="37">
                  <c:v>5.1125387717758386E-4</c:v>
                </c:pt>
                <c:pt idx="38">
                  <c:v>7.8951516381933051E-3</c:v>
                </c:pt>
                <c:pt idx="39">
                  <c:v>7.2203415331447175E-3</c:v>
                </c:pt>
                <c:pt idx="40">
                  <c:v>1.1942561866455972E-2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605608"/>
        <c:axId val="387601688"/>
      </c:scatterChart>
      <c:valAx>
        <c:axId val="387605608"/>
        <c:scaling>
          <c:orientation val="minMax"/>
          <c:max val="12.2"/>
          <c:min val="9.9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387601688"/>
        <c:crosses val="autoZero"/>
        <c:crossBetween val="midCat"/>
      </c:valAx>
      <c:valAx>
        <c:axId val="387601688"/>
        <c:scaling>
          <c:orientation val="minMax"/>
          <c:min val="0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nextTo"/>
        <c:crossAx val="3876056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6502880"/>
        <c:axId val="387595024"/>
      </c:barChart>
      <c:catAx>
        <c:axId val="456502880"/>
        <c:scaling>
          <c:orientation val="minMax"/>
        </c:scaling>
        <c:delete val="0"/>
        <c:axPos val="b"/>
        <c:majorTickMark val="out"/>
        <c:minorTickMark val="none"/>
        <c:tickLblPos val="nextTo"/>
        <c:crossAx val="387595024"/>
        <c:crosses val="autoZero"/>
        <c:auto val="1"/>
        <c:lblAlgn val="ctr"/>
        <c:lblOffset val="100"/>
        <c:noMultiLvlLbl val="0"/>
      </c:catAx>
      <c:valAx>
        <c:axId val="38759502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565028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/>
          </c:tx>
          <c:xVal>
            <c:numRef>
              <c:f>'PIE(10-12)_2'!$M$3:$M$43</c:f>
              <c:numCache>
                <c:formatCode>General</c:formatCode>
                <c:ptCount val="41"/>
                <c:pt idx="0">
                  <c:v>9.9994825149099995</c:v>
                </c:pt>
                <c:pt idx="1">
                  <c:v>10.050042608564</c:v>
                </c:pt>
                <c:pt idx="2">
                  <c:v>10.09955227006</c:v>
                </c:pt>
                <c:pt idx="3">
                  <c:v>10.149932065787</c:v>
                </c:pt>
                <c:pt idx="4">
                  <c:v>10.199564911828</c:v>
                </c:pt>
                <c:pt idx="5">
                  <c:v>10.249746724015001</c:v>
                </c:pt>
                <c:pt idx="6">
                  <c:v>10.299786396188001</c:v>
                </c:pt>
                <c:pt idx="7">
                  <c:v>10.349651696549</c:v>
                </c:pt>
                <c:pt idx="8">
                  <c:v>10.399834231831999</c:v>
                </c:pt>
                <c:pt idx="9">
                  <c:v>10.449488358305</c:v>
                </c:pt>
                <c:pt idx="10">
                  <c:v>10.499511918607</c:v>
                </c:pt>
                <c:pt idx="11">
                  <c:v>10.549865500411</c:v>
                </c:pt>
                <c:pt idx="12">
                  <c:v>10.599679313067</c:v>
                </c:pt>
                <c:pt idx="13">
                  <c:v>10.650031820245999</c:v>
                </c:pt>
                <c:pt idx="14">
                  <c:v>10.699887134479001</c:v>
                </c:pt>
                <c:pt idx="15">
                  <c:v>10.749964670425999</c:v>
                </c:pt>
                <c:pt idx="16">
                  <c:v>10.799630186829001</c:v>
                </c:pt>
                <c:pt idx="17">
                  <c:v>10.849619656598</c:v>
                </c:pt>
                <c:pt idx="18">
                  <c:v>10.899635912628</c:v>
                </c:pt>
                <c:pt idx="19">
                  <c:v>10.949463825786999</c:v>
                </c:pt>
                <c:pt idx="20">
                  <c:v>10.999373660594999</c:v>
                </c:pt>
                <c:pt idx="21">
                  <c:v>11.049716877751001</c:v>
                </c:pt>
                <c:pt idx="22">
                  <c:v>11.099853399863999</c:v>
                </c:pt>
                <c:pt idx="23">
                  <c:v>11.152426230863</c:v>
                </c:pt>
                <c:pt idx="24">
                  <c:v>11.199896698266</c:v>
                </c:pt>
                <c:pt idx="25">
                  <c:v>11.250057197706999</c:v>
                </c:pt>
                <c:pt idx="26">
                  <c:v>11.299479338816999</c:v>
                </c:pt>
                <c:pt idx="27">
                  <c:v>11.349212617671</c:v>
                </c:pt>
                <c:pt idx="28">
                  <c:v>11.399234288075</c:v>
                </c:pt>
                <c:pt idx="29">
                  <c:v>11.449800635673</c:v>
                </c:pt>
                <c:pt idx="30">
                  <c:v>11.499508402167001</c:v>
                </c:pt>
                <c:pt idx="31">
                  <c:v>11.549960361678</c:v>
                </c:pt>
                <c:pt idx="32">
                  <c:v>11.599655478452</c:v>
                </c:pt>
                <c:pt idx="33">
                  <c:v>11.649885454166</c:v>
                </c:pt>
                <c:pt idx="34">
                  <c:v>11.699542657568999</c:v>
                </c:pt>
                <c:pt idx="35">
                  <c:v>11.750000157783001</c:v>
                </c:pt>
                <c:pt idx="36">
                  <c:v>11.799219101348999</c:v>
                </c:pt>
                <c:pt idx="37">
                  <c:v>11.849751466787</c:v>
                </c:pt>
                <c:pt idx="38">
                  <c:v>11.899261733971001</c:v>
                </c:pt>
                <c:pt idx="39">
                  <c:v>11.94929831987</c:v>
                </c:pt>
                <c:pt idx="40">
                  <c:v>12.000120845152001</c:v>
                </c:pt>
              </c:numCache>
            </c:numRef>
          </c:xVal>
          <c:yVal>
            <c:numRef>
              <c:f>'PIE(10-12)_2'!$S$3:$S$43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4.1865070344378376E-4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1.3407384877474625E-4</c:v>
                </c:pt>
                <c:pt idx="30">
                  <c:v>1.4829156261369403E-3</c:v>
                </c:pt>
                <c:pt idx="31">
                  <c:v>2.4626939228529635E-3</c:v>
                </c:pt>
                <c:pt idx="32">
                  <c:v>1.9903554266822074E-3</c:v>
                </c:pt>
                <c:pt idx="33">
                  <c:v>9.9556091377559592E-4</c:v>
                </c:pt>
                <c:pt idx="34">
                  <c:v>4.6662915005004852E-3</c:v>
                </c:pt>
                <c:pt idx="35">
                  <c:v>6.6453877067533459E-3</c:v>
                </c:pt>
                <c:pt idx="36">
                  <c:v>1.1268463344965564E-2</c:v>
                </c:pt>
                <c:pt idx="37">
                  <c:v>0</c:v>
                </c:pt>
                <c:pt idx="38">
                  <c:v>1.3870548208162473E-2</c:v>
                </c:pt>
                <c:pt idx="39">
                  <c:v>1.3644132932739663E-2</c:v>
                </c:pt>
                <c:pt idx="40">
                  <c:v>2.2327398272069861E-2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012536"/>
        <c:axId val="392013712"/>
      </c:scatterChart>
      <c:valAx>
        <c:axId val="392012536"/>
        <c:scaling>
          <c:orientation val="minMax"/>
          <c:max val="12.2"/>
          <c:min val="9.9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392013712"/>
        <c:crosses val="autoZero"/>
        <c:crossBetween val="midCat"/>
      </c:valAx>
      <c:valAx>
        <c:axId val="392013712"/>
        <c:scaling>
          <c:orientation val="minMax"/>
          <c:min val="0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nextTo"/>
        <c:crossAx val="3920125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2008224"/>
        <c:axId val="392023120"/>
      </c:barChart>
      <c:catAx>
        <c:axId val="392008224"/>
        <c:scaling>
          <c:orientation val="minMax"/>
        </c:scaling>
        <c:delete val="0"/>
        <c:axPos val="b"/>
        <c:majorTickMark val="out"/>
        <c:minorTickMark val="none"/>
        <c:tickLblPos val="nextTo"/>
        <c:crossAx val="392023120"/>
        <c:crosses val="autoZero"/>
        <c:auto val="1"/>
        <c:lblAlgn val="ctr"/>
        <c:lblOffset val="100"/>
        <c:noMultiLvlLbl val="0"/>
      </c:catAx>
      <c:valAx>
        <c:axId val="39202312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392008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/>
          </c:tx>
          <c:xVal>
            <c:numRef>
              <c:f>'PIE(9.0-10.05)_2'!$M$3:$M$10</c:f>
              <c:numCache>
                <c:formatCode>General</c:formatCode>
                <c:ptCount val="8"/>
                <c:pt idx="0">
                  <c:v>8.9999897437360001</c:v>
                </c:pt>
                <c:pt idx="1">
                  <c:v>9.0498997713300007</c:v>
                </c:pt>
                <c:pt idx="2">
                  <c:v>9.0999967393749994</c:v>
                </c:pt>
                <c:pt idx="3">
                  <c:v>9.1498388581590007</c:v>
                </c:pt>
                <c:pt idx="4">
                  <c:v>9.1995071281970002</c:v>
                </c:pt>
                <c:pt idx="5">
                  <c:v>9.2496179326700005</c:v>
                </c:pt>
                <c:pt idx="6">
                  <c:v>9.2999754577709997</c:v>
                </c:pt>
                <c:pt idx="7">
                  <c:v>9.3500527518870005</c:v>
                </c:pt>
              </c:numCache>
            </c:numRef>
          </c:xVal>
          <c:yVal>
            <c:numRef>
              <c:f>'PIE(9.0-10.05)_2'!$AC$3:$AC$10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515152"/>
        <c:axId val="460503784"/>
      </c:scatterChart>
      <c:valAx>
        <c:axId val="460515152"/>
        <c:scaling>
          <c:orientation val="minMax"/>
          <c:max val="9.5"/>
          <c:min val="8.9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460503784"/>
        <c:crosses val="autoZero"/>
        <c:crossBetween val="midCat"/>
      </c:valAx>
      <c:valAx>
        <c:axId val="460503784"/>
        <c:scaling>
          <c:orientation val="minMax"/>
          <c:min val="0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nextTo"/>
        <c:crossAx val="4605151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977520"/>
        <c:axId val="391976736"/>
      </c:barChart>
      <c:catAx>
        <c:axId val="391977520"/>
        <c:scaling>
          <c:orientation val="minMax"/>
        </c:scaling>
        <c:delete val="0"/>
        <c:axPos val="b"/>
        <c:majorTickMark val="out"/>
        <c:minorTickMark val="none"/>
        <c:tickLblPos val="nextTo"/>
        <c:crossAx val="391976736"/>
        <c:crosses val="autoZero"/>
        <c:auto val="1"/>
        <c:lblAlgn val="ctr"/>
        <c:lblOffset val="100"/>
        <c:noMultiLvlLbl val="0"/>
      </c:catAx>
      <c:valAx>
        <c:axId val="39197673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391977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/>
          </c:tx>
          <c:xVal>
            <c:numRef>
              <c:f>'PIE(9.0-10.05)_4'!$M$3:$M$15</c:f>
              <c:numCache>
                <c:formatCode>General</c:formatCode>
                <c:ptCount val="13"/>
                <c:pt idx="0">
                  <c:v>8.9999897437360001</c:v>
                </c:pt>
                <c:pt idx="1">
                  <c:v>9.0498997713300007</c:v>
                </c:pt>
                <c:pt idx="2">
                  <c:v>9.0999967393749994</c:v>
                </c:pt>
                <c:pt idx="3">
                  <c:v>9.1498388581590007</c:v>
                </c:pt>
                <c:pt idx="4">
                  <c:v>9.1995071281970002</c:v>
                </c:pt>
                <c:pt idx="5">
                  <c:v>9.2496179326700005</c:v>
                </c:pt>
                <c:pt idx="6">
                  <c:v>9.2999754577709997</c:v>
                </c:pt>
                <c:pt idx="7">
                  <c:v>9.3500527518870005</c:v>
                </c:pt>
                <c:pt idx="8">
                  <c:v>9.3997460832369999</c:v>
                </c:pt>
                <c:pt idx="9">
                  <c:v>9.4497624552549997</c:v>
                </c:pt>
                <c:pt idx="10">
                  <c:v>9.4997008353380004</c:v>
                </c:pt>
                <c:pt idx="11">
                  <c:v>9.5500282071899996</c:v>
                </c:pt>
                <c:pt idx="12">
                  <c:v>9.5998182868500006</c:v>
                </c:pt>
              </c:numCache>
            </c:numRef>
          </c:xVal>
          <c:yVal>
            <c:numRef>
              <c:f>'PIE(9.0-10.05)_4'!$S$3:$S$15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1.0191744007455474E-4</c:v>
                </c:pt>
                <c:pt idx="5">
                  <c:v>3.7146965434904492E-4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329768"/>
        <c:axId val="557003584"/>
      </c:scatterChart>
      <c:valAx>
        <c:axId val="457329768"/>
        <c:scaling>
          <c:orientation val="minMax"/>
          <c:max val="9.6999999999999993"/>
          <c:min val="8.9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557003584"/>
        <c:crosses val="autoZero"/>
        <c:crossBetween val="midCat"/>
      </c:valAx>
      <c:valAx>
        <c:axId val="557003584"/>
        <c:scaling>
          <c:orientation val="minMax"/>
          <c:min val="0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nextTo"/>
        <c:crossAx val="4573297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541064"/>
        <c:axId val="394541456"/>
      </c:barChart>
      <c:catAx>
        <c:axId val="394541064"/>
        <c:scaling>
          <c:orientation val="minMax"/>
        </c:scaling>
        <c:delete val="0"/>
        <c:axPos val="b"/>
        <c:majorTickMark val="out"/>
        <c:minorTickMark val="none"/>
        <c:tickLblPos val="nextTo"/>
        <c:crossAx val="394541456"/>
        <c:crosses val="autoZero"/>
        <c:auto val="1"/>
        <c:lblAlgn val="ctr"/>
        <c:lblOffset val="100"/>
        <c:noMultiLvlLbl val="0"/>
      </c:catAx>
      <c:valAx>
        <c:axId val="39454145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3945410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/>
          </c:tx>
          <c:xVal>
            <c:numRef>
              <c:f>'14.7eV'!$M$3:$M$13</c:f>
              <c:numCache>
                <c:formatCode>General</c:formatCode>
                <c:ptCount val="11"/>
                <c:pt idx="0">
                  <c:v>400</c:v>
                </c:pt>
                <c:pt idx="1">
                  <c:v>700</c:v>
                </c:pt>
                <c:pt idx="2">
                  <c:v>750</c:v>
                </c:pt>
                <c:pt idx="3">
                  <c:v>800</c:v>
                </c:pt>
                <c:pt idx="4">
                  <c:v>825</c:v>
                </c:pt>
                <c:pt idx="5">
                  <c:v>850</c:v>
                </c:pt>
                <c:pt idx="6">
                  <c:v>875</c:v>
                </c:pt>
                <c:pt idx="7">
                  <c:v>900</c:v>
                </c:pt>
                <c:pt idx="8">
                  <c:v>925</c:v>
                </c:pt>
                <c:pt idx="9">
                  <c:v>950</c:v>
                </c:pt>
                <c:pt idx="10">
                  <c:v>975</c:v>
                </c:pt>
              </c:numCache>
            </c:numRef>
          </c:xVal>
          <c:yVal>
            <c:numRef>
              <c:f>'14.7eV'!$Z$3:$Z$13</c:f>
              <c:numCache>
                <c:formatCode>General</c:formatCode>
                <c:ptCount val="11"/>
                <c:pt idx="0">
                  <c:v>0.4241889803692761</c:v>
                </c:pt>
                <c:pt idx="1">
                  <c:v>0.33460817729182779</c:v>
                </c:pt>
                <c:pt idx="2">
                  <c:v>0.3451995605189826</c:v>
                </c:pt>
                <c:pt idx="3">
                  <c:v>0.31260691223346593</c:v>
                </c:pt>
                <c:pt idx="4">
                  <c:v>0.25609216399752072</c:v>
                </c:pt>
                <c:pt idx="5">
                  <c:v>0.19188785065853101</c:v>
                </c:pt>
                <c:pt idx="6">
                  <c:v>0.14187002324318332</c:v>
                </c:pt>
                <c:pt idx="7">
                  <c:v>9.2472613378058649E-2</c:v>
                </c:pt>
                <c:pt idx="8">
                  <c:v>6.4257513667995883E-2</c:v>
                </c:pt>
                <c:pt idx="9">
                  <c:v>6.3774906397615586E-2</c:v>
                </c:pt>
                <c:pt idx="10">
                  <c:v>4.0855401979277894E-2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552432"/>
        <c:axId val="394551256"/>
      </c:scatterChart>
      <c:valAx>
        <c:axId val="394552432"/>
        <c:scaling>
          <c:orientation val="minMax"/>
          <c:max val="984.8"/>
          <c:min val="396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394551256"/>
        <c:crosses val="autoZero"/>
        <c:crossBetween val="midCat"/>
      </c:valAx>
      <c:valAx>
        <c:axId val="394551256"/>
        <c:scaling>
          <c:orientation val="minMax"/>
          <c:min val="0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nextTo"/>
        <c:crossAx val="3945524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0623720"/>
        <c:axId val="450622936"/>
      </c:barChart>
      <c:catAx>
        <c:axId val="450623720"/>
        <c:scaling>
          <c:orientation val="minMax"/>
        </c:scaling>
        <c:delete val="0"/>
        <c:axPos val="b"/>
        <c:majorTickMark val="out"/>
        <c:minorTickMark val="none"/>
        <c:tickLblPos val="nextTo"/>
        <c:crossAx val="450622936"/>
        <c:crosses val="autoZero"/>
        <c:auto val="1"/>
        <c:lblAlgn val="ctr"/>
        <c:lblOffset val="100"/>
        <c:noMultiLvlLbl val="0"/>
      </c:catAx>
      <c:valAx>
        <c:axId val="45062293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506237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H2O</c:v>
          </c:tx>
          <c:xVal>
            <c:numRef>
              <c:f>'14.7eV_2'!$M$3:$M$13</c:f>
              <c:numCache>
                <c:formatCode>General</c:formatCode>
                <c:ptCount val="11"/>
                <c:pt idx="0">
                  <c:v>400</c:v>
                </c:pt>
                <c:pt idx="1">
                  <c:v>700</c:v>
                </c:pt>
                <c:pt idx="2">
                  <c:v>750</c:v>
                </c:pt>
                <c:pt idx="3">
                  <c:v>800</c:v>
                </c:pt>
                <c:pt idx="4">
                  <c:v>825</c:v>
                </c:pt>
                <c:pt idx="5">
                  <c:v>850</c:v>
                </c:pt>
                <c:pt idx="6">
                  <c:v>875</c:v>
                </c:pt>
                <c:pt idx="7">
                  <c:v>900</c:v>
                </c:pt>
                <c:pt idx="8">
                  <c:v>925</c:v>
                </c:pt>
                <c:pt idx="9">
                  <c:v>950</c:v>
                </c:pt>
                <c:pt idx="10">
                  <c:v>975</c:v>
                </c:pt>
              </c:numCache>
            </c:numRef>
          </c:xVal>
          <c:yVal>
            <c:numRef>
              <c:f>'14.7eV_2'!$N$3:$N$13</c:f>
              <c:numCache>
                <c:formatCode>General</c:formatCode>
                <c:ptCount val="11"/>
                <c:pt idx="0">
                  <c:v>4.7597106058273157E-2</c:v>
                </c:pt>
                <c:pt idx="1">
                  <c:v>4.7641529417371459E-2</c:v>
                </c:pt>
                <c:pt idx="2">
                  <c:v>4.3749314389021479E-2</c:v>
                </c:pt>
                <c:pt idx="3">
                  <c:v>3.4841178266475925E-2</c:v>
                </c:pt>
                <c:pt idx="4">
                  <c:v>3.0066588083066715E-2</c:v>
                </c:pt>
                <c:pt idx="5">
                  <c:v>3.7769990104522123E-2</c:v>
                </c:pt>
                <c:pt idx="6">
                  <c:v>2.8946240991733842E-2</c:v>
                </c:pt>
                <c:pt idx="7">
                  <c:v>2.8302619327276058E-2</c:v>
                </c:pt>
                <c:pt idx="8">
                  <c:v>2.442341861493523E-2</c:v>
                </c:pt>
                <c:pt idx="9">
                  <c:v>5.4289574737427793E-2</c:v>
                </c:pt>
                <c:pt idx="10">
                  <c:v>4.9254182651125786E-2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300536"/>
        <c:axId val="462299360"/>
      </c:scatterChart>
      <c:valAx>
        <c:axId val="462300536"/>
        <c:scaling>
          <c:orientation val="minMax"/>
          <c:max val="984.8"/>
          <c:min val="396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462299360"/>
        <c:crosses val="autoZero"/>
        <c:crossBetween val="midCat"/>
      </c:valAx>
      <c:valAx>
        <c:axId val="462299360"/>
        <c:scaling>
          <c:orientation val="minMax"/>
          <c:min val="0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nextTo"/>
        <c:crossAx val="4623005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552824"/>
        <c:axId val="394552040"/>
      </c:barChart>
      <c:catAx>
        <c:axId val="394552824"/>
        <c:scaling>
          <c:orientation val="minMax"/>
        </c:scaling>
        <c:delete val="0"/>
        <c:axPos val="b"/>
        <c:majorTickMark val="out"/>
        <c:minorTickMark val="none"/>
        <c:tickLblPos val="nextTo"/>
        <c:crossAx val="394552040"/>
        <c:crosses val="autoZero"/>
        <c:auto val="1"/>
        <c:lblAlgn val="ctr"/>
        <c:lblOffset val="100"/>
        <c:noMultiLvlLbl val="0"/>
      </c:catAx>
      <c:valAx>
        <c:axId val="39455204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394552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/>
          </c:tx>
          <c:xVal>
            <c:numRef>
              <c:f>'PIE(9.5-10)'!$M$3</c:f>
              <c:numCache>
                <c:formatCode>General</c:formatCode>
                <c:ptCount val="1"/>
                <c:pt idx="0">
                  <c:v>200</c:v>
                </c:pt>
              </c:numCache>
            </c:numRef>
          </c:xVal>
          <c:yVal>
            <c:numRef>
              <c:f>'PIE(9.5-10)'!$R$3</c:f>
              <c:numCache>
                <c:formatCode>General</c:formatCode>
                <c:ptCount val="1"/>
                <c:pt idx="0">
                  <c:v>3.9102407245586522E-4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093984"/>
        <c:axId val="392092808"/>
      </c:scatterChart>
      <c:valAx>
        <c:axId val="392093984"/>
        <c:scaling>
          <c:orientation val="minMax"/>
          <c:max val="202"/>
          <c:min val="198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392092808"/>
        <c:crosses val="autoZero"/>
        <c:crossBetween val="midCat"/>
      </c:valAx>
      <c:valAx>
        <c:axId val="392092808"/>
        <c:scaling>
          <c:orientation val="minMax"/>
          <c:min val="0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nextTo"/>
        <c:crossAx val="3920939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2099472"/>
        <c:axId val="392099864"/>
      </c:barChart>
      <c:catAx>
        <c:axId val="392099472"/>
        <c:scaling>
          <c:orientation val="minMax"/>
        </c:scaling>
        <c:delete val="0"/>
        <c:axPos val="b"/>
        <c:majorTickMark val="out"/>
        <c:minorTickMark val="none"/>
        <c:tickLblPos val="nextTo"/>
        <c:crossAx val="392099864"/>
        <c:crosses val="autoZero"/>
        <c:auto val="1"/>
        <c:lblAlgn val="ctr"/>
        <c:lblOffset val="100"/>
        <c:noMultiLvlLbl val="0"/>
      </c:catAx>
      <c:valAx>
        <c:axId val="39209986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3920994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/>
          </c:tx>
          <c:xVal>
            <c:numRef>
              <c:f>'PIE(9.5-10)_2'!$M$3</c:f>
              <c:numCache>
                <c:formatCode>General</c:formatCode>
                <c:ptCount val="1"/>
                <c:pt idx="0">
                  <c:v>9.4998760035550003</c:v>
                </c:pt>
              </c:numCache>
            </c:numRef>
          </c:xVal>
          <c:yVal>
            <c:numRef>
              <c:f>'PIE(9.5-10)_2'!$W$3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503192"/>
        <c:axId val="458502016"/>
      </c:scatterChart>
      <c:valAx>
        <c:axId val="458503192"/>
        <c:scaling>
          <c:orientation val="minMax"/>
          <c:max val="9.6"/>
          <c:min val="9.4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458502016"/>
        <c:crosses val="autoZero"/>
        <c:crossBetween val="midCat"/>
      </c:valAx>
      <c:valAx>
        <c:axId val="458502016"/>
        <c:scaling>
          <c:orientation val="minMax"/>
          <c:min val="0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nextTo"/>
        <c:crossAx val="4585031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2096728"/>
        <c:axId val="392097512"/>
      </c:barChart>
      <c:catAx>
        <c:axId val="392096728"/>
        <c:scaling>
          <c:orientation val="minMax"/>
        </c:scaling>
        <c:delete val="0"/>
        <c:axPos val="b"/>
        <c:majorTickMark val="out"/>
        <c:minorTickMark val="none"/>
        <c:tickLblPos val="nextTo"/>
        <c:crossAx val="392097512"/>
        <c:crosses val="autoZero"/>
        <c:auto val="1"/>
        <c:lblAlgn val="ctr"/>
        <c:lblOffset val="100"/>
        <c:noMultiLvlLbl val="0"/>
      </c:catAx>
      <c:valAx>
        <c:axId val="39209751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3920967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O2</c:v>
          </c:tx>
          <c:xVal>
            <c:numRef>
              <c:f>'PIE(9.0-10.05)_5'!$M$3:$M$25</c:f>
              <c:numCache>
                <c:formatCode>General</c:formatCode>
                <c:ptCount val="23"/>
                <c:pt idx="0">
                  <c:v>8.9999897437360001</c:v>
                </c:pt>
                <c:pt idx="1">
                  <c:v>9.0498997713300007</c:v>
                </c:pt>
                <c:pt idx="2">
                  <c:v>9.0999967393749994</c:v>
                </c:pt>
                <c:pt idx="3">
                  <c:v>9.1498388581590007</c:v>
                </c:pt>
                <c:pt idx="4">
                  <c:v>9.1995071281970002</c:v>
                </c:pt>
                <c:pt idx="5">
                  <c:v>9.2496179326700005</c:v>
                </c:pt>
                <c:pt idx="6">
                  <c:v>9.2999754577709997</c:v>
                </c:pt>
                <c:pt idx="7">
                  <c:v>9.3500527518870005</c:v>
                </c:pt>
                <c:pt idx="8">
                  <c:v>9.3997460832369999</c:v>
                </c:pt>
                <c:pt idx="9">
                  <c:v>9.4497624552549997</c:v>
                </c:pt>
                <c:pt idx="10">
                  <c:v>9.4997008353380004</c:v>
                </c:pt>
                <c:pt idx="11">
                  <c:v>9.5500282071899996</c:v>
                </c:pt>
                <c:pt idx="12">
                  <c:v>9.5998182868500006</c:v>
                </c:pt>
                <c:pt idx="13">
                  <c:v>9.6497506855130002</c:v>
                </c:pt>
                <c:pt idx="14">
                  <c:v>9.6997486642839998</c:v>
                </c:pt>
                <c:pt idx="15">
                  <c:v>9.7500829239429994</c:v>
                </c:pt>
                <c:pt idx="16">
                  <c:v>9.7999355727459996</c:v>
                </c:pt>
                <c:pt idx="17">
                  <c:v>9.8499239880210006</c:v>
                </c:pt>
                <c:pt idx="18">
                  <c:v>9.8999303517860007</c:v>
                </c:pt>
                <c:pt idx="19">
                  <c:v>9.9497360313420007</c:v>
                </c:pt>
                <c:pt idx="20">
                  <c:v>9.9999677403669995</c:v>
                </c:pt>
                <c:pt idx="21">
                  <c:v>10.049689733877001</c:v>
                </c:pt>
                <c:pt idx="22">
                  <c:v>10.099789857319999</c:v>
                </c:pt>
              </c:numCache>
            </c:numRef>
          </c:xVal>
          <c:yVal>
            <c:numRef>
              <c:f>'PIE(9.0-10.05)_5'!$P$3:$P$25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3.7060887299838086E-4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1.9785094457685647E-4</c:v>
                </c:pt>
                <c:pt idx="22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769400"/>
        <c:axId val="557768224"/>
      </c:scatterChart>
      <c:valAx>
        <c:axId val="557769400"/>
        <c:scaling>
          <c:orientation val="minMax"/>
          <c:max val="10.3"/>
          <c:min val="8.9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557768224"/>
        <c:crosses val="autoZero"/>
        <c:crossBetween val="midCat"/>
      </c:valAx>
      <c:valAx>
        <c:axId val="557768224"/>
        <c:scaling>
          <c:orientation val="minMax"/>
          <c:min val="0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nextTo"/>
        <c:crossAx val="5577694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2.emf"/><Relationship Id="rId18" Type="http://schemas.openxmlformats.org/officeDocument/2006/relationships/image" Target="../media/image37.emf"/><Relationship Id="rId26" Type="http://schemas.openxmlformats.org/officeDocument/2006/relationships/image" Target="../media/image14.emf"/><Relationship Id="rId39" Type="http://schemas.openxmlformats.org/officeDocument/2006/relationships/image" Target="../media/image3.emf"/><Relationship Id="rId21" Type="http://schemas.openxmlformats.org/officeDocument/2006/relationships/image" Target="../media/image19.emf"/><Relationship Id="rId34" Type="http://schemas.openxmlformats.org/officeDocument/2006/relationships/image" Target="../media/image41.emf"/><Relationship Id="rId42" Type="http://schemas.openxmlformats.org/officeDocument/2006/relationships/image" Target="../media/image46.emf"/><Relationship Id="rId47" Type="http://schemas.openxmlformats.org/officeDocument/2006/relationships/image" Target="../media/image51.emf"/><Relationship Id="rId50" Type="http://schemas.openxmlformats.org/officeDocument/2006/relationships/image" Target="../media/image1.emf"/><Relationship Id="rId55" Type="http://schemas.openxmlformats.org/officeDocument/2006/relationships/image" Target="../media/image56.emf"/><Relationship Id="rId7" Type="http://schemas.openxmlformats.org/officeDocument/2006/relationships/image" Target="../media/image28.emf"/><Relationship Id="rId12" Type="http://schemas.openxmlformats.org/officeDocument/2006/relationships/image" Target="../media/image23.emf"/><Relationship Id="rId17" Type="http://schemas.openxmlformats.org/officeDocument/2006/relationships/image" Target="../media/image20.emf"/><Relationship Id="rId25" Type="http://schemas.openxmlformats.org/officeDocument/2006/relationships/image" Target="../media/image15.emf"/><Relationship Id="rId33" Type="http://schemas.openxmlformats.org/officeDocument/2006/relationships/image" Target="../media/image40.emf"/><Relationship Id="rId38" Type="http://schemas.openxmlformats.org/officeDocument/2006/relationships/image" Target="../media/image54.emf"/><Relationship Id="rId46" Type="http://schemas.openxmlformats.org/officeDocument/2006/relationships/image" Target="../media/image50.emf"/><Relationship Id="rId2" Type="http://schemas.openxmlformats.org/officeDocument/2006/relationships/image" Target="../media/image33.emf"/><Relationship Id="rId16" Type="http://schemas.openxmlformats.org/officeDocument/2006/relationships/image" Target="../media/image36.emf"/><Relationship Id="rId20" Type="http://schemas.openxmlformats.org/officeDocument/2006/relationships/image" Target="../media/image39.emf"/><Relationship Id="rId29" Type="http://schemas.openxmlformats.org/officeDocument/2006/relationships/image" Target="../media/image11.emf"/><Relationship Id="rId41" Type="http://schemas.openxmlformats.org/officeDocument/2006/relationships/image" Target="../media/image45.emf"/><Relationship Id="rId54" Type="http://schemas.openxmlformats.org/officeDocument/2006/relationships/image" Target="../media/image55.emf"/><Relationship Id="rId1" Type="http://schemas.openxmlformats.org/officeDocument/2006/relationships/image" Target="../media/image34.emf"/><Relationship Id="rId6" Type="http://schemas.openxmlformats.org/officeDocument/2006/relationships/image" Target="../media/image29.emf"/><Relationship Id="rId11" Type="http://schemas.openxmlformats.org/officeDocument/2006/relationships/image" Target="../media/image24.emf"/><Relationship Id="rId24" Type="http://schemas.openxmlformats.org/officeDocument/2006/relationships/image" Target="../media/image16.emf"/><Relationship Id="rId32" Type="http://schemas.openxmlformats.org/officeDocument/2006/relationships/image" Target="../media/image8.emf"/><Relationship Id="rId37" Type="http://schemas.openxmlformats.org/officeDocument/2006/relationships/image" Target="../media/image53.emf"/><Relationship Id="rId40" Type="http://schemas.openxmlformats.org/officeDocument/2006/relationships/image" Target="../media/image44.emf"/><Relationship Id="rId45" Type="http://schemas.openxmlformats.org/officeDocument/2006/relationships/image" Target="../media/image49.emf"/><Relationship Id="rId53" Type="http://schemas.openxmlformats.org/officeDocument/2006/relationships/image" Target="../media/image4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23" Type="http://schemas.openxmlformats.org/officeDocument/2006/relationships/image" Target="../media/image17.emf"/><Relationship Id="rId28" Type="http://schemas.openxmlformats.org/officeDocument/2006/relationships/image" Target="../media/image12.emf"/><Relationship Id="rId36" Type="http://schemas.openxmlformats.org/officeDocument/2006/relationships/image" Target="../media/image43.emf"/><Relationship Id="rId49" Type="http://schemas.openxmlformats.org/officeDocument/2006/relationships/image" Target="../media/image6.emf"/><Relationship Id="rId10" Type="http://schemas.openxmlformats.org/officeDocument/2006/relationships/image" Target="../media/image25.emf"/><Relationship Id="rId19" Type="http://schemas.openxmlformats.org/officeDocument/2006/relationships/image" Target="../media/image38.emf"/><Relationship Id="rId31" Type="http://schemas.openxmlformats.org/officeDocument/2006/relationships/image" Target="../media/image9.emf"/><Relationship Id="rId44" Type="http://schemas.openxmlformats.org/officeDocument/2006/relationships/image" Target="../media/image48.emf"/><Relationship Id="rId52" Type="http://schemas.openxmlformats.org/officeDocument/2006/relationships/image" Target="../media/image5.emf"/><Relationship Id="rId4" Type="http://schemas.openxmlformats.org/officeDocument/2006/relationships/image" Target="../media/image31.emf"/><Relationship Id="rId9" Type="http://schemas.openxmlformats.org/officeDocument/2006/relationships/image" Target="../media/image26.emf"/><Relationship Id="rId14" Type="http://schemas.openxmlformats.org/officeDocument/2006/relationships/image" Target="../media/image21.emf"/><Relationship Id="rId22" Type="http://schemas.openxmlformats.org/officeDocument/2006/relationships/image" Target="../media/image18.emf"/><Relationship Id="rId27" Type="http://schemas.openxmlformats.org/officeDocument/2006/relationships/image" Target="../media/image13.emf"/><Relationship Id="rId30" Type="http://schemas.openxmlformats.org/officeDocument/2006/relationships/image" Target="../media/image10.emf"/><Relationship Id="rId35" Type="http://schemas.openxmlformats.org/officeDocument/2006/relationships/image" Target="../media/image42.emf"/><Relationship Id="rId43" Type="http://schemas.openxmlformats.org/officeDocument/2006/relationships/image" Target="../media/image47.emf"/><Relationship Id="rId48" Type="http://schemas.openxmlformats.org/officeDocument/2006/relationships/image" Target="../media/image52.emf"/><Relationship Id="rId56" Type="http://schemas.openxmlformats.org/officeDocument/2006/relationships/image" Target="../media/image2.emf"/><Relationship Id="rId8" Type="http://schemas.openxmlformats.org/officeDocument/2006/relationships/image" Target="../media/image27.emf"/><Relationship Id="rId51" Type="http://schemas.openxmlformats.org/officeDocument/2006/relationships/image" Target="../media/image7.emf"/><Relationship Id="rId3" Type="http://schemas.openxmlformats.org/officeDocument/2006/relationships/image" Target="../media/image3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13" Type="http://schemas.openxmlformats.org/officeDocument/2006/relationships/image" Target="../media/image57.emf"/><Relationship Id="rId3" Type="http://schemas.openxmlformats.org/officeDocument/2006/relationships/image" Target="../media/image67.emf"/><Relationship Id="rId7" Type="http://schemas.openxmlformats.org/officeDocument/2006/relationships/image" Target="../media/image63.emf"/><Relationship Id="rId12" Type="http://schemas.openxmlformats.org/officeDocument/2006/relationships/image" Target="../media/image58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6" Type="http://schemas.openxmlformats.org/officeDocument/2006/relationships/image" Target="../media/image64.emf"/><Relationship Id="rId11" Type="http://schemas.openxmlformats.org/officeDocument/2006/relationships/image" Target="../media/image59.emf"/><Relationship Id="rId5" Type="http://schemas.openxmlformats.org/officeDocument/2006/relationships/image" Target="../media/image65.emf"/><Relationship Id="rId10" Type="http://schemas.openxmlformats.org/officeDocument/2006/relationships/image" Target="../media/image60.emf"/><Relationship Id="rId4" Type="http://schemas.openxmlformats.org/officeDocument/2006/relationships/image" Target="../media/image66.emf"/><Relationship Id="rId9" Type="http://schemas.openxmlformats.org/officeDocument/2006/relationships/image" Target="../media/image6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75.emf"/><Relationship Id="rId13" Type="http://schemas.openxmlformats.org/officeDocument/2006/relationships/image" Target="../media/image70.emf"/><Relationship Id="rId3" Type="http://schemas.openxmlformats.org/officeDocument/2006/relationships/image" Target="../media/image80.emf"/><Relationship Id="rId7" Type="http://schemas.openxmlformats.org/officeDocument/2006/relationships/image" Target="../media/image76.emf"/><Relationship Id="rId12" Type="http://schemas.openxmlformats.org/officeDocument/2006/relationships/image" Target="../media/image71.emf"/><Relationship Id="rId2" Type="http://schemas.openxmlformats.org/officeDocument/2006/relationships/image" Target="../media/image81.emf"/><Relationship Id="rId1" Type="http://schemas.openxmlformats.org/officeDocument/2006/relationships/image" Target="../media/image82.emf"/><Relationship Id="rId6" Type="http://schemas.openxmlformats.org/officeDocument/2006/relationships/image" Target="../media/image77.emf"/><Relationship Id="rId11" Type="http://schemas.openxmlformats.org/officeDocument/2006/relationships/image" Target="../media/image72.emf"/><Relationship Id="rId5" Type="http://schemas.openxmlformats.org/officeDocument/2006/relationships/image" Target="../media/image78.emf"/><Relationship Id="rId10" Type="http://schemas.openxmlformats.org/officeDocument/2006/relationships/image" Target="../media/image73.emf"/><Relationship Id="rId4" Type="http://schemas.openxmlformats.org/officeDocument/2006/relationships/image" Target="../media/image79.emf"/><Relationship Id="rId9" Type="http://schemas.openxmlformats.org/officeDocument/2006/relationships/image" Target="../media/image74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88.emf"/><Relationship Id="rId13" Type="http://schemas.openxmlformats.org/officeDocument/2006/relationships/image" Target="../media/image83.emf"/><Relationship Id="rId3" Type="http://schemas.openxmlformats.org/officeDocument/2006/relationships/image" Target="../media/image93.emf"/><Relationship Id="rId7" Type="http://schemas.openxmlformats.org/officeDocument/2006/relationships/image" Target="../media/image89.emf"/><Relationship Id="rId12" Type="http://schemas.openxmlformats.org/officeDocument/2006/relationships/image" Target="../media/image84.emf"/><Relationship Id="rId2" Type="http://schemas.openxmlformats.org/officeDocument/2006/relationships/image" Target="../media/image94.emf"/><Relationship Id="rId1" Type="http://schemas.openxmlformats.org/officeDocument/2006/relationships/image" Target="../media/image95.emf"/><Relationship Id="rId6" Type="http://schemas.openxmlformats.org/officeDocument/2006/relationships/image" Target="../media/image90.emf"/><Relationship Id="rId11" Type="http://schemas.openxmlformats.org/officeDocument/2006/relationships/image" Target="../media/image85.emf"/><Relationship Id="rId5" Type="http://schemas.openxmlformats.org/officeDocument/2006/relationships/image" Target="../media/image91.emf"/><Relationship Id="rId10" Type="http://schemas.openxmlformats.org/officeDocument/2006/relationships/image" Target="../media/image86.emf"/><Relationship Id="rId4" Type="http://schemas.openxmlformats.org/officeDocument/2006/relationships/image" Target="../media/image92.emf"/><Relationship Id="rId9" Type="http://schemas.openxmlformats.org/officeDocument/2006/relationships/image" Target="../media/image87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1.emf"/><Relationship Id="rId13" Type="http://schemas.openxmlformats.org/officeDocument/2006/relationships/image" Target="../media/image96.emf"/><Relationship Id="rId3" Type="http://schemas.openxmlformats.org/officeDocument/2006/relationships/image" Target="../media/image106.emf"/><Relationship Id="rId7" Type="http://schemas.openxmlformats.org/officeDocument/2006/relationships/image" Target="../media/image102.emf"/><Relationship Id="rId12" Type="http://schemas.openxmlformats.org/officeDocument/2006/relationships/image" Target="../media/image97.emf"/><Relationship Id="rId2" Type="http://schemas.openxmlformats.org/officeDocument/2006/relationships/image" Target="../media/image107.emf"/><Relationship Id="rId1" Type="http://schemas.openxmlformats.org/officeDocument/2006/relationships/image" Target="../media/image108.emf"/><Relationship Id="rId6" Type="http://schemas.openxmlformats.org/officeDocument/2006/relationships/image" Target="../media/image103.emf"/><Relationship Id="rId11" Type="http://schemas.openxmlformats.org/officeDocument/2006/relationships/image" Target="../media/image98.emf"/><Relationship Id="rId5" Type="http://schemas.openxmlformats.org/officeDocument/2006/relationships/image" Target="../media/image104.emf"/><Relationship Id="rId10" Type="http://schemas.openxmlformats.org/officeDocument/2006/relationships/image" Target="../media/image99.emf"/><Relationship Id="rId4" Type="http://schemas.openxmlformats.org/officeDocument/2006/relationships/image" Target="../media/image105.emf"/><Relationship Id="rId9" Type="http://schemas.openxmlformats.org/officeDocument/2006/relationships/image" Target="../media/image100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4.emf"/><Relationship Id="rId13" Type="http://schemas.openxmlformats.org/officeDocument/2006/relationships/image" Target="../media/image109.emf"/><Relationship Id="rId3" Type="http://schemas.openxmlformats.org/officeDocument/2006/relationships/image" Target="../media/image119.emf"/><Relationship Id="rId7" Type="http://schemas.openxmlformats.org/officeDocument/2006/relationships/image" Target="../media/image115.emf"/><Relationship Id="rId12" Type="http://schemas.openxmlformats.org/officeDocument/2006/relationships/image" Target="../media/image110.emf"/><Relationship Id="rId2" Type="http://schemas.openxmlformats.org/officeDocument/2006/relationships/image" Target="../media/image120.emf"/><Relationship Id="rId1" Type="http://schemas.openxmlformats.org/officeDocument/2006/relationships/image" Target="../media/image121.emf"/><Relationship Id="rId6" Type="http://schemas.openxmlformats.org/officeDocument/2006/relationships/image" Target="../media/image116.emf"/><Relationship Id="rId11" Type="http://schemas.openxmlformats.org/officeDocument/2006/relationships/image" Target="../media/image111.emf"/><Relationship Id="rId5" Type="http://schemas.openxmlformats.org/officeDocument/2006/relationships/image" Target="../media/image117.emf"/><Relationship Id="rId10" Type="http://schemas.openxmlformats.org/officeDocument/2006/relationships/image" Target="../media/image112.emf"/><Relationship Id="rId4" Type="http://schemas.openxmlformats.org/officeDocument/2006/relationships/image" Target="../media/image118.emf"/><Relationship Id="rId9" Type="http://schemas.openxmlformats.org/officeDocument/2006/relationships/image" Target="../media/image113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7.emf"/><Relationship Id="rId13" Type="http://schemas.openxmlformats.org/officeDocument/2006/relationships/image" Target="../media/image122.emf"/><Relationship Id="rId3" Type="http://schemas.openxmlformats.org/officeDocument/2006/relationships/image" Target="../media/image132.emf"/><Relationship Id="rId7" Type="http://schemas.openxmlformats.org/officeDocument/2006/relationships/image" Target="../media/image128.emf"/><Relationship Id="rId12" Type="http://schemas.openxmlformats.org/officeDocument/2006/relationships/image" Target="../media/image123.emf"/><Relationship Id="rId2" Type="http://schemas.openxmlformats.org/officeDocument/2006/relationships/image" Target="../media/image133.emf"/><Relationship Id="rId1" Type="http://schemas.openxmlformats.org/officeDocument/2006/relationships/image" Target="../media/image134.emf"/><Relationship Id="rId6" Type="http://schemas.openxmlformats.org/officeDocument/2006/relationships/image" Target="../media/image129.emf"/><Relationship Id="rId11" Type="http://schemas.openxmlformats.org/officeDocument/2006/relationships/image" Target="../media/image124.emf"/><Relationship Id="rId5" Type="http://schemas.openxmlformats.org/officeDocument/2006/relationships/image" Target="../media/image130.emf"/><Relationship Id="rId10" Type="http://schemas.openxmlformats.org/officeDocument/2006/relationships/image" Target="../media/image125.emf"/><Relationship Id="rId4" Type="http://schemas.openxmlformats.org/officeDocument/2006/relationships/image" Target="../media/image131.emf"/><Relationship Id="rId9" Type="http://schemas.openxmlformats.org/officeDocument/2006/relationships/image" Target="../media/image126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0.emf"/><Relationship Id="rId13" Type="http://schemas.openxmlformats.org/officeDocument/2006/relationships/image" Target="../media/image135.emf"/><Relationship Id="rId3" Type="http://schemas.openxmlformats.org/officeDocument/2006/relationships/image" Target="../media/image145.emf"/><Relationship Id="rId7" Type="http://schemas.openxmlformats.org/officeDocument/2006/relationships/image" Target="../media/image141.emf"/><Relationship Id="rId12" Type="http://schemas.openxmlformats.org/officeDocument/2006/relationships/image" Target="../media/image136.emf"/><Relationship Id="rId2" Type="http://schemas.openxmlformats.org/officeDocument/2006/relationships/image" Target="../media/image146.emf"/><Relationship Id="rId1" Type="http://schemas.openxmlformats.org/officeDocument/2006/relationships/image" Target="../media/image147.emf"/><Relationship Id="rId6" Type="http://schemas.openxmlformats.org/officeDocument/2006/relationships/image" Target="../media/image142.emf"/><Relationship Id="rId11" Type="http://schemas.openxmlformats.org/officeDocument/2006/relationships/image" Target="../media/image137.emf"/><Relationship Id="rId5" Type="http://schemas.openxmlformats.org/officeDocument/2006/relationships/image" Target="../media/image143.emf"/><Relationship Id="rId10" Type="http://schemas.openxmlformats.org/officeDocument/2006/relationships/image" Target="../media/image138.emf"/><Relationship Id="rId4" Type="http://schemas.openxmlformats.org/officeDocument/2006/relationships/image" Target="../media/image144.emf"/><Relationship Id="rId9" Type="http://schemas.openxmlformats.org/officeDocument/2006/relationships/image" Target="../media/image139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3.emf"/><Relationship Id="rId13" Type="http://schemas.openxmlformats.org/officeDocument/2006/relationships/image" Target="../media/image148.emf"/><Relationship Id="rId3" Type="http://schemas.openxmlformats.org/officeDocument/2006/relationships/image" Target="../media/image158.emf"/><Relationship Id="rId7" Type="http://schemas.openxmlformats.org/officeDocument/2006/relationships/image" Target="../media/image154.emf"/><Relationship Id="rId12" Type="http://schemas.openxmlformats.org/officeDocument/2006/relationships/image" Target="../media/image149.emf"/><Relationship Id="rId2" Type="http://schemas.openxmlformats.org/officeDocument/2006/relationships/image" Target="../media/image159.emf"/><Relationship Id="rId1" Type="http://schemas.openxmlformats.org/officeDocument/2006/relationships/image" Target="../media/image160.emf"/><Relationship Id="rId6" Type="http://schemas.openxmlformats.org/officeDocument/2006/relationships/image" Target="../media/image155.emf"/><Relationship Id="rId11" Type="http://schemas.openxmlformats.org/officeDocument/2006/relationships/image" Target="../media/image150.emf"/><Relationship Id="rId5" Type="http://schemas.openxmlformats.org/officeDocument/2006/relationships/image" Target="../media/image156.emf"/><Relationship Id="rId10" Type="http://schemas.openxmlformats.org/officeDocument/2006/relationships/image" Target="../media/image151.emf"/><Relationship Id="rId4" Type="http://schemas.openxmlformats.org/officeDocument/2006/relationships/image" Target="../media/image157.emf"/><Relationship Id="rId9" Type="http://schemas.openxmlformats.org/officeDocument/2006/relationships/image" Target="../media/image152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6.emf"/><Relationship Id="rId13" Type="http://schemas.openxmlformats.org/officeDocument/2006/relationships/image" Target="../media/image161.emf"/><Relationship Id="rId3" Type="http://schemas.openxmlformats.org/officeDocument/2006/relationships/image" Target="../media/image171.emf"/><Relationship Id="rId7" Type="http://schemas.openxmlformats.org/officeDocument/2006/relationships/image" Target="../media/image167.emf"/><Relationship Id="rId12" Type="http://schemas.openxmlformats.org/officeDocument/2006/relationships/image" Target="../media/image162.emf"/><Relationship Id="rId2" Type="http://schemas.openxmlformats.org/officeDocument/2006/relationships/image" Target="../media/image172.emf"/><Relationship Id="rId1" Type="http://schemas.openxmlformats.org/officeDocument/2006/relationships/image" Target="../media/image173.emf"/><Relationship Id="rId6" Type="http://schemas.openxmlformats.org/officeDocument/2006/relationships/image" Target="../media/image168.emf"/><Relationship Id="rId11" Type="http://schemas.openxmlformats.org/officeDocument/2006/relationships/image" Target="../media/image163.emf"/><Relationship Id="rId5" Type="http://schemas.openxmlformats.org/officeDocument/2006/relationships/image" Target="../media/image169.emf"/><Relationship Id="rId10" Type="http://schemas.openxmlformats.org/officeDocument/2006/relationships/image" Target="../media/image164.emf"/><Relationship Id="rId4" Type="http://schemas.openxmlformats.org/officeDocument/2006/relationships/image" Target="../media/image170.emf"/><Relationship Id="rId9" Type="http://schemas.openxmlformats.org/officeDocument/2006/relationships/image" Target="../media/image16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9.emf"/><Relationship Id="rId13" Type="http://schemas.openxmlformats.org/officeDocument/2006/relationships/image" Target="../media/image174.emf"/><Relationship Id="rId3" Type="http://schemas.openxmlformats.org/officeDocument/2006/relationships/image" Target="../media/image184.emf"/><Relationship Id="rId7" Type="http://schemas.openxmlformats.org/officeDocument/2006/relationships/image" Target="../media/image180.emf"/><Relationship Id="rId12" Type="http://schemas.openxmlformats.org/officeDocument/2006/relationships/image" Target="../media/image175.emf"/><Relationship Id="rId2" Type="http://schemas.openxmlformats.org/officeDocument/2006/relationships/image" Target="../media/image185.emf"/><Relationship Id="rId1" Type="http://schemas.openxmlformats.org/officeDocument/2006/relationships/image" Target="../media/image186.emf"/><Relationship Id="rId6" Type="http://schemas.openxmlformats.org/officeDocument/2006/relationships/image" Target="../media/image181.emf"/><Relationship Id="rId11" Type="http://schemas.openxmlformats.org/officeDocument/2006/relationships/image" Target="../media/image176.emf"/><Relationship Id="rId5" Type="http://schemas.openxmlformats.org/officeDocument/2006/relationships/image" Target="../media/image182.emf"/><Relationship Id="rId10" Type="http://schemas.openxmlformats.org/officeDocument/2006/relationships/image" Target="../media/image177.emf"/><Relationship Id="rId4" Type="http://schemas.openxmlformats.org/officeDocument/2006/relationships/image" Target="../media/image183.emf"/><Relationship Id="rId9" Type="http://schemas.openxmlformats.org/officeDocument/2006/relationships/image" Target="../media/image178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2.emf"/><Relationship Id="rId13" Type="http://schemas.openxmlformats.org/officeDocument/2006/relationships/image" Target="../media/image187.emf"/><Relationship Id="rId3" Type="http://schemas.openxmlformats.org/officeDocument/2006/relationships/image" Target="../media/image197.emf"/><Relationship Id="rId7" Type="http://schemas.openxmlformats.org/officeDocument/2006/relationships/image" Target="../media/image193.emf"/><Relationship Id="rId12" Type="http://schemas.openxmlformats.org/officeDocument/2006/relationships/image" Target="../media/image188.emf"/><Relationship Id="rId2" Type="http://schemas.openxmlformats.org/officeDocument/2006/relationships/image" Target="../media/image198.emf"/><Relationship Id="rId1" Type="http://schemas.openxmlformats.org/officeDocument/2006/relationships/image" Target="../media/image199.emf"/><Relationship Id="rId6" Type="http://schemas.openxmlformats.org/officeDocument/2006/relationships/image" Target="../media/image194.emf"/><Relationship Id="rId11" Type="http://schemas.openxmlformats.org/officeDocument/2006/relationships/image" Target="../media/image189.emf"/><Relationship Id="rId5" Type="http://schemas.openxmlformats.org/officeDocument/2006/relationships/image" Target="../media/image195.emf"/><Relationship Id="rId10" Type="http://schemas.openxmlformats.org/officeDocument/2006/relationships/image" Target="../media/image190.emf"/><Relationship Id="rId4" Type="http://schemas.openxmlformats.org/officeDocument/2006/relationships/image" Target="../media/image196.emf"/><Relationship Id="rId9" Type="http://schemas.openxmlformats.org/officeDocument/2006/relationships/image" Target="../media/image19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52" name="Label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=""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标签 28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0</xdr:row>
          <xdr:rowOff>247650</xdr:rowOff>
        </xdr:from>
        <xdr:to>
          <xdr:col>4</xdr:col>
          <xdr:colOff>19050</xdr:colOff>
          <xdr:row>0</xdr:row>
          <xdr:rowOff>476250</xdr:rowOff>
        </xdr:to>
        <xdr:sp macro="" textlink="">
          <xdr:nvSpPr>
            <xdr:cNvPr id="1055" name="PIFile_0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=""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0</xdr:row>
          <xdr:rowOff>457200</xdr:rowOff>
        </xdr:from>
        <xdr:to>
          <xdr:col>4</xdr:col>
          <xdr:colOff>19050</xdr:colOff>
          <xdr:row>0</xdr:row>
          <xdr:rowOff>685800</xdr:rowOff>
        </xdr:to>
        <xdr:sp macro="" textlink="">
          <xdr:nvSpPr>
            <xdr:cNvPr id="1056" name="PIFile_1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=""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0</xdr:row>
          <xdr:rowOff>247650</xdr:rowOff>
        </xdr:from>
        <xdr:to>
          <xdr:col>5</xdr:col>
          <xdr:colOff>1085850</xdr:colOff>
          <xdr:row>0</xdr:row>
          <xdr:rowOff>476250</xdr:rowOff>
        </xdr:to>
        <xdr:sp macro="" textlink="">
          <xdr:nvSpPr>
            <xdr:cNvPr id="1059" name="ResultShtName_0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=""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</xdr:row>
          <xdr:rowOff>19050</xdr:rowOff>
        </xdr:from>
        <xdr:to>
          <xdr:col>2</xdr:col>
          <xdr:colOff>0</xdr:colOff>
          <xdr:row>2</xdr:row>
          <xdr:rowOff>209550</xdr:rowOff>
        </xdr:to>
        <xdr:sp macro="" textlink="">
          <xdr:nvSpPr>
            <xdr:cNvPr id="1062" name="Mode_0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=""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0</xdr:row>
          <xdr:rowOff>457200</xdr:rowOff>
        </xdr:from>
        <xdr:to>
          <xdr:col>5</xdr:col>
          <xdr:colOff>1085850</xdr:colOff>
          <xdr:row>0</xdr:row>
          <xdr:rowOff>685800</xdr:rowOff>
        </xdr:to>
        <xdr:sp macro="" textlink="">
          <xdr:nvSpPr>
            <xdr:cNvPr id="1065" name="ResultShtName_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=""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19050</xdr:rowOff>
        </xdr:from>
        <xdr:to>
          <xdr:col>0</xdr:col>
          <xdr:colOff>800100</xdr:colOff>
          <xdr:row>2</xdr:row>
          <xdr:rowOff>209550</xdr:rowOff>
        </xdr:to>
        <xdr:sp macro="" textlink="">
          <xdr:nvSpPr>
            <xdr:cNvPr id="1074" name="FileType_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=""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</xdr:row>
          <xdr:rowOff>19050</xdr:rowOff>
        </xdr:from>
        <xdr:to>
          <xdr:col>0</xdr:col>
          <xdr:colOff>800100</xdr:colOff>
          <xdr:row>3</xdr:row>
          <xdr:rowOff>209550</xdr:rowOff>
        </xdr:to>
        <xdr:sp macro="" textlink="">
          <xdr:nvSpPr>
            <xdr:cNvPr id="1075" name="FileType_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=""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</xdr:row>
          <xdr:rowOff>19050</xdr:rowOff>
        </xdr:from>
        <xdr:to>
          <xdr:col>2</xdr:col>
          <xdr:colOff>0</xdr:colOff>
          <xdr:row>3</xdr:row>
          <xdr:rowOff>209550</xdr:rowOff>
        </xdr:to>
        <xdr:sp macro="" textlink="">
          <xdr:nvSpPr>
            <xdr:cNvPr id="1079" name="Mode_1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=""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20</xdr:row>
          <xdr:rowOff>28575</xdr:rowOff>
        </xdr:from>
        <xdr:to>
          <xdr:col>1</xdr:col>
          <xdr:colOff>495300</xdr:colOff>
          <xdr:row>20</xdr:row>
          <xdr:rowOff>219075</xdr:rowOff>
        </xdr:to>
        <xdr:sp macro="" textlink="">
          <xdr:nvSpPr>
            <xdr:cNvPr id="1083" name="PICorrection_0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=""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21</xdr:row>
          <xdr:rowOff>28575</xdr:rowOff>
        </xdr:from>
        <xdr:to>
          <xdr:col>1</xdr:col>
          <xdr:colOff>495300</xdr:colOff>
          <xdr:row>21</xdr:row>
          <xdr:rowOff>219075</xdr:rowOff>
        </xdr:to>
        <xdr:sp macro="" textlink="">
          <xdr:nvSpPr>
            <xdr:cNvPr id="1084" name="PICorrection_1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=""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20</xdr:row>
          <xdr:rowOff>28575</xdr:rowOff>
        </xdr:from>
        <xdr:to>
          <xdr:col>0</xdr:col>
          <xdr:colOff>495300</xdr:colOff>
          <xdr:row>20</xdr:row>
          <xdr:rowOff>219075</xdr:rowOff>
        </xdr:to>
        <xdr:sp macro="" textlink="">
          <xdr:nvSpPr>
            <xdr:cNvPr id="1085" name="Normalization_0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=""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21</xdr:row>
          <xdr:rowOff>28575</xdr:rowOff>
        </xdr:from>
        <xdr:to>
          <xdr:col>0</xdr:col>
          <xdr:colOff>495300</xdr:colOff>
          <xdr:row>21</xdr:row>
          <xdr:rowOff>219075</xdr:rowOff>
        </xdr:to>
        <xdr:sp macro="" textlink="">
          <xdr:nvSpPr>
            <xdr:cNvPr id="1086" name="Normalization_1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=""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0</xdr:row>
          <xdr:rowOff>180975</xdr:rowOff>
        </xdr:from>
        <xdr:to>
          <xdr:col>16</xdr:col>
          <xdr:colOff>0</xdr:colOff>
          <xdr:row>1</xdr:row>
          <xdr:rowOff>0</xdr:rowOff>
        </xdr:to>
        <xdr:sp macro="" textlink="">
          <xdr:nvSpPr>
            <xdr:cNvPr id="1087" name="Label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=""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扣除(留空)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扣前面(b)  扣后面(a)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不扣除(f)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自定义，格式为：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        start           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609600</xdr:rowOff>
        </xdr:from>
        <xdr:to>
          <xdr:col>1</xdr:col>
          <xdr:colOff>1076325</xdr:colOff>
          <xdr:row>0</xdr:row>
          <xdr:rowOff>885825</xdr:rowOff>
        </xdr:to>
        <xdr:sp macro="" textlink="">
          <xdr:nvSpPr>
            <xdr:cNvPr id="1088" name="All_Im_Cal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=""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228600</xdr:rowOff>
        </xdr:from>
        <xdr:to>
          <xdr:col>1</xdr:col>
          <xdr:colOff>1076325</xdr:colOff>
          <xdr:row>0</xdr:row>
          <xdr:rowOff>504825</xdr:rowOff>
        </xdr:to>
        <xdr:sp macro="" textlink="">
          <xdr:nvSpPr>
            <xdr:cNvPr id="1095" name="InitializeBtn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=""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0</xdr:row>
          <xdr:rowOff>247650</xdr:rowOff>
        </xdr:from>
        <xdr:to>
          <xdr:col>8</xdr:col>
          <xdr:colOff>1104900</xdr:colOff>
          <xdr:row>0</xdr:row>
          <xdr:rowOff>476250</xdr:rowOff>
        </xdr:to>
        <xdr:sp macro="" textlink="">
          <xdr:nvSpPr>
            <xdr:cNvPr id="1096" name="RangeFile_0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=""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0</xdr:row>
          <xdr:rowOff>447675</xdr:rowOff>
        </xdr:from>
        <xdr:to>
          <xdr:col>8</xdr:col>
          <xdr:colOff>1104900</xdr:colOff>
          <xdr:row>0</xdr:row>
          <xdr:rowOff>904875</xdr:rowOff>
        </xdr:to>
        <xdr:sp macro="" textlink="">
          <xdr:nvSpPr>
            <xdr:cNvPr id="1097" name="RangeFile_1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=""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0</xdr:row>
          <xdr:rowOff>666750</xdr:rowOff>
        </xdr:from>
        <xdr:to>
          <xdr:col>4</xdr:col>
          <xdr:colOff>19050</xdr:colOff>
          <xdr:row>0</xdr:row>
          <xdr:rowOff>895350</xdr:rowOff>
        </xdr:to>
        <xdr:sp macro="" textlink="">
          <xdr:nvSpPr>
            <xdr:cNvPr id="1098" name="PIFile_2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=""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24</xdr:row>
          <xdr:rowOff>28575</xdr:rowOff>
        </xdr:from>
        <xdr:to>
          <xdr:col>0</xdr:col>
          <xdr:colOff>495300</xdr:colOff>
          <xdr:row>24</xdr:row>
          <xdr:rowOff>219075</xdr:rowOff>
        </xdr:to>
        <xdr:sp macro="" textlink="">
          <xdr:nvSpPr>
            <xdr:cNvPr id="1099" name="IsoSub_0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=""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25</xdr:row>
          <xdr:rowOff>28575</xdr:rowOff>
        </xdr:from>
        <xdr:to>
          <xdr:col>0</xdr:col>
          <xdr:colOff>495300</xdr:colOff>
          <xdr:row>25</xdr:row>
          <xdr:rowOff>219075</xdr:rowOff>
        </xdr:to>
        <xdr:sp macro="" textlink="">
          <xdr:nvSpPr>
            <xdr:cNvPr id="1100" name="IsoSub_1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=""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24</xdr:row>
          <xdr:rowOff>19050</xdr:rowOff>
        </xdr:from>
        <xdr:to>
          <xdr:col>1</xdr:col>
          <xdr:colOff>1095375</xdr:colOff>
          <xdr:row>25</xdr:row>
          <xdr:rowOff>0</xdr:rowOff>
        </xdr:to>
        <xdr:sp macro="" textlink="">
          <xdr:nvSpPr>
            <xdr:cNvPr id="1101" name="MassDigit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=""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</xdr:row>
          <xdr:rowOff>38100</xdr:rowOff>
        </xdr:from>
        <xdr:to>
          <xdr:col>0</xdr:col>
          <xdr:colOff>1104900</xdr:colOff>
          <xdr:row>1</xdr:row>
          <xdr:rowOff>238125</xdr:rowOff>
        </xdr:to>
        <xdr:sp macro="" textlink="">
          <xdr:nvSpPr>
            <xdr:cNvPr id="1102" name="FileType_Label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=""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1</xdr:col>
          <xdr:colOff>1095375</xdr:colOff>
          <xdr:row>1</xdr:row>
          <xdr:rowOff>238125</xdr:rowOff>
        </xdr:to>
        <xdr:sp macro="" textlink="">
          <xdr:nvSpPr>
            <xdr:cNvPr id="1103" name="Mode_Label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=""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19</xdr:row>
          <xdr:rowOff>38100</xdr:rowOff>
        </xdr:from>
        <xdr:to>
          <xdr:col>0</xdr:col>
          <xdr:colOff>1104900</xdr:colOff>
          <xdr:row>19</xdr:row>
          <xdr:rowOff>238125</xdr:rowOff>
        </xdr:to>
        <xdr:sp macro="" textlink="">
          <xdr:nvSpPr>
            <xdr:cNvPr id="1105" name="Normalization_Label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=""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19</xdr:row>
          <xdr:rowOff>38100</xdr:rowOff>
        </xdr:from>
        <xdr:to>
          <xdr:col>1</xdr:col>
          <xdr:colOff>1095375</xdr:colOff>
          <xdr:row>19</xdr:row>
          <xdr:rowOff>238125</xdr:rowOff>
        </xdr:to>
        <xdr:sp macro="" textlink="">
          <xdr:nvSpPr>
            <xdr:cNvPr id="1106" name="PICorrection_Label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=""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23</xdr:row>
          <xdr:rowOff>38100</xdr:rowOff>
        </xdr:from>
        <xdr:to>
          <xdr:col>0</xdr:col>
          <xdr:colOff>1104900</xdr:colOff>
          <xdr:row>23</xdr:row>
          <xdr:rowOff>238125</xdr:rowOff>
        </xdr:to>
        <xdr:sp macro="" textlink="">
          <xdr:nvSpPr>
            <xdr:cNvPr id="1107" name="IsoSub_Label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=""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23</xdr:row>
          <xdr:rowOff>38100</xdr:rowOff>
        </xdr:from>
        <xdr:to>
          <xdr:col>1</xdr:col>
          <xdr:colOff>1123950</xdr:colOff>
          <xdr:row>23</xdr:row>
          <xdr:rowOff>238125</xdr:rowOff>
        </xdr:to>
        <xdr:sp macro="" textlink="">
          <xdr:nvSpPr>
            <xdr:cNvPr id="1108" name="MassDigit_Label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=""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247650</xdr:rowOff>
        </xdr:from>
        <xdr:to>
          <xdr:col>6</xdr:col>
          <xdr:colOff>1095375</xdr:colOff>
          <xdr:row>0</xdr:row>
          <xdr:rowOff>476250</xdr:rowOff>
        </xdr:to>
        <xdr:sp macro="" textlink="">
          <xdr:nvSpPr>
            <xdr:cNvPr id="1110" name="MassCaliFile_0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=""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457200</xdr:rowOff>
        </xdr:from>
        <xdr:to>
          <xdr:col>6</xdr:col>
          <xdr:colOff>1095375</xdr:colOff>
          <xdr:row>0</xdr:row>
          <xdr:rowOff>914400</xdr:rowOff>
        </xdr:to>
        <xdr:sp macro="" textlink="">
          <xdr:nvSpPr>
            <xdr:cNvPr id="1111" name="MassCaliFile_1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=""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38100</xdr:rowOff>
        </xdr:from>
        <xdr:to>
          <xdr:col>7</xdr:col>
          <xdr:colOff>285750</xdr:colOff>
          <xdr:row>1</xdr:row>
          <xdr:rowOff>238125</xdr:rowOff>
        </xdr:to>
        <xdr:sp macro="" textlink="">
          <xdr:nvSpPr>
            <xdr:cNvPr id="1112" name="MassCali_A_Label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=""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2</xdr:row>
          <xdr:rowOff>38100</xdr:rowOff>
        </xdr:from>
        <xdr:to>
          <xdr:col>7</xdr:col>
          <xdr:colOff>285750</xdr:colOff>
          <xdr:row>2</xdr:row>
          <xdr:rowOff>238125</xdr:rowOff>
        </xdr:to>
        <xdr:sp macro="" textlink="">
          <xdr:nvSpPr>
            <xdr:cNvPr id="1113" name="MassCali_B_Label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=""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</xdr:row>
          <xdr:rowOff>38100</xdr:rowOff>
        </xdr:from>
        <xdr:to>
          <xdr:col>7</xdr:col>
          <xdr:colOff>285750</xdr:colOff>
          <xdr:row>3</xdr:row>
          <xdr:rowOff>238125</xdr:rowOff>
        </xdr:to>
        <xdr:sp macro="" textlink="">
          <xdr:nvSpPr>
            <xdr:cNvPr id="1114" name="MassCali_C_Label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=""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400050</xdr:rowOff>
        </xdr:from>
        <xdr:to>
          <xdr:col>7</xdr:col>
          <xdr:colOff>1104900</xdr:colOff>
          <xdr:row>0</xdr:row>
          <xdr:rowOff>600075</xdr:rowOff>
        </xdr:to>
        <xdr:sp macro="" textlink="">
          <xdr:nvSpPr>
            <xdr:cNvPr id="1115" name="MassCali_Eqt_Label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=""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26</xdr:row>
          <xdr:rowOff>38100</xdr:rowOff>
        </xdr:from>
        <xdr:to>
          <xdr:col>1</xdr:col>
          <xdr:colOff>161925</xdr:colOff>
          <xdr:row>27</xdr:row>
          <xdr:rowOff>142875</xdr:rowOff>
        </xdr:to>
        <xdr:sp macro="" textlink="">
          <xdr:nvSpPr>
            <xdr:cNvPr id="1116" name="IsoErrCheckBox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=""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19050</xdr:rowOff>
        </xdr:from>
        <xdr:to>
          <xdr:col>0</xdr:col>
          <xdr:colOff>914400</xdr:colOff>
          <xdr:row>5</xdr:row>
          <xdr:rowOff>9525</xdr:rowOff>
        </xdr:to>
        <xdr:sp macro="" textlink="">
          <xdr:nvSpPr>
            <xdr:cNvPr id="1117" name="RepeatCheckBox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=""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18</xdr:row>
          <xdr:rowOff>28575</xdr:rowOff>
        </xdr:from>
        <xdr:to>
          <xdr:col>1</xdr:col>
          <xdr:colOff>38100</xdr:colOff>
          <xdr:row>18</xdr:row>
          <xdr:rowOff>228600</xdr:rowOff>
        </xdr:to>
        <xdr:sp macro="" textlink="">
          <xdr:nvSpPr>
            <xdr:cNvPr id="1118" name="PIBG_Label1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=""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18</xdr:row>
          <xdr:rowOff>19050</xdr:rowOff>
        </xdr:from>
        <xdr:to>
          <xdr:col>1</xdr:col>
          <xdr:colOff>1085850</xdr:colOff>
          <xdr:row>19</xdr:row>
          <xdr:rowOff>0</xdr:rowOff>
        </xdr:to>
        <xdr:sp macro="" textlink="">
          <xdr:nvSpPr>
            <xdr:cNvPr id="1119" name="PIBG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=""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20</xdr:row>
          <xdr:rowOff>28575</xdr:rowOff>
        </xdr:from>
        <xdr:to>
          <xdr:col>1</xdr:col>
          <xdr:colOff>1095375</xdr:colOff>
          <xdr:row>20</xdr:row>
          <xdr:rowOff>219075</xdr:rowOff>
        </xdr:to>
        <xdr:sp macro="" textlink="">
          <xdr:nvSpPr>
            <xdr:cNvPr id="1145" name="PD_SXUV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=""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21</xdr:row>
          <xdr:rowOff>28575</xdr:rowOff>
        </xdr:from>
        <xdr:to>
          <xdr:col>1</xdr:col>
          <xdr:colOff>1095375</xdr:colOff>
          <xdr:row>21</xdr:row>
          <xdr:rowOff>219075</xdr:rowOff>
        </xdr:to>
        <xdr:sp macro="" textlink="">
          <xdr:nvSpPr>
            <xdr:cNvPr id="1146" name="PD_AXUV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=""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</xdr:row>
          <xdr:rowOff>57150</xdr:rowOff>
        </xdr:from>
        <xdr:to>
          <xdr:col>0</xdr:col>
          <xdr:colOff>219075</xdr:colOff>
          <xdr:row>8</xdr:row>
          <xdr:rowOff>0</xdr:rowOff>
        </xdr:to>
        <xdr:sp macro="" textlink="">
          <xdr:nvSpPr>
            <xdr:cNvPr id="1120" name="HL1_CheckBox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=""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8</xdr:row>
          <xdr:rowOff>57150</xdr:rowOff>
        </xdr:from>
        <xdr:to>
          <xdr:col>0</xdr:col>
          <xdr:colOff>219075</xdr:colOff>
          <xdr:row>9</xdr:row>
          <xdr:rowOff>0</xdr:rowOff>
        </xdr:to>
        <xdr:sp macro="" textlink="">
          <xdr:nvSpPr>
            <xdr:cNvPr id="1121" name="HL2_CheckBox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=""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9</xdr:row>
          <xdr:rowOff>57150</xdr:rowOff>
        </xdr:from>
        <xdr:to>
          <xdr:col>0</xdr:col>
          <xdr:colOff>219075</xdr:colOff>
          <xdr:row>10</xdr:row>
          <xdr:rowOff>0</xdr:rowOff>
        </xdr:to>
        <xdr:sp macro="" textlink="">
          <xdr:nvSpPr>
            <xdr:cNvPr id="1122" name="HL3_CheckBox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=""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10</xdr:row>
          <xdr:rowOff>57150</xdr:rowOff>
        </xdr:from>
        <xdr:to>
          <xdr:col>0</xdr:col>
          <xdr:colOff>219075</xdr:colOff>
          <xdr:row>11</xdr:row>
          <xdr:rowOff>0</xdr:rowOff>
        </xdr:to>
        <xdr:sp macro="" textlink="">
          <xdr:nvSpPr>
            <xdr:cNvPr id="1123" name="HL4_CheckBox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=""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11</xdr:row>
          <xdr:rowOff>57150</xdr:rowOff>
        </xdr:from>
        <xdr:to>
          <xdr:col>0</xdr:col>
          <xdr:colOff>219075</xdr:colOff>
          <xdr:row>12</xdr:row>
          <xdr:rowOff>0</xdr:rowOff>
        </xdr:to>
        <xdr:sp macro="" textlink="">
          <xdr:nvSpPr>
            <xdr:cNvPr id="1124" name="HL5_CheckBox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=""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12</xdr:row>
          <xdr:rowOff>57150</xdr:rowOff>
        </xdr:from>
        <xdr:to>
          <xdr:col>0</xdr:col>
          <xdr:colOff>219075</xdr:colOff>
          <xdr:row>13</xdr:row>
          <xdr:rowOff>0</xdr:rowOff>
        </xdr:to>
        <xdr:sp macro="" textlink="">
          <xdr:nvSpPr>
            <xdr:cNvPr id="1125" name="HL6_CheckBox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=""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13</xdr:row>
          <xdr:rowOff>57150</xdr:rowOff>
        </xdr:from>
        <xdr:to>
          <xdr:col>0</xdr:col>
          <xdr:colOff>219075</xdr:colOff>
          <xdr:row>14</xdr:row>
          <xdr:rowOff>0</xdr:rowOff>
        </xdr:to>
        <xdr:sp macro="" textlink="">
          <xdr:nvSpPr>
            <xdr:cNvPr id="1126" name="HL7_CheckBox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=""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571500</xdr:colOff>
          <xdr:row>6</xdr:row>
          <xdr:rowOff>57150</xdr:rowOff>
        </xdr:from>
        <xdr:to>
          <xdr:col>1</xdr:col>
          <xdr:colOff>1152525</xdr:colOff>
          <xdr:row>6</xdr:row>
          <xdr:rowOff>209550</xdr:rowOff>
        </xdr:to>
        <xdr:sp macro="" textlink="">
          <xdr:nvSpPr>
            <xdr:cNvPr id="1127" name="XScale_PI_Label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=""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7</xdr:row>
          <xdr:rowOff>19050</xdr:rowOff>
        </xdr:from>
        <xdr:to>
          <xdr:col>1</xdr:col>
          <xdr:colOff>647700</xdr:colOff>
          <xdr:row>8</xdr:row>
          <xdr:rowOff>0</xdr:rowOff>
        </xdr:to>
        <xdr:sp macro="" textlink="">
          <xdr:nvSpPr>
            <xdr:cNvPr id="1128" name="HL1_ComboBox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=""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8</xdr:row>
          <xdr:rowOff>19050</xdr:rowOff>
        </xdr:from>
        <xdr:to>
          <xdr:col>1</xdr:col>
          <xdr:colOff>647700</xdr:colOff>
          <xdr:row>9</xdr:row>
          <xdr:rowOff>0</xdr:rowOff>
        </xdr:to>
        <xdr:sp macro="" textlink="">
          <xdr:nvSpPr>
            <xdr:cNvPr id="1129" name="HL2_ComboBox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=""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9</xdr:row>
          <xdr:rowOff>19050</xdr:rowOff>
        </xdr:from>
        <xdr:to>
          <xdr:col>1</xdr:col>
          <xdr:colOff>647700</xdr:colOff>
          <xdr:row>10</xdr:row>
          <xdr:rowOff>0</xdr:rowOff>
        </xdr:to>
        <xdr:sp macro="" textlink="">
          <xdr:nvSpPr>
            <xdr:cNvPr id="1130" name="HL3_ComboBox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=""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10</xdr:row>
          <xdr:rowOff>19050</xdr:rowOff>
        </xdr:from>
        <xdr:to>
          <xdr:col>1</xdr:col>
          <xdr:colOff>647700</xdr:colOff>
          <xdr:row>11</xdr:row>
          <xdr:rowOff>0</xdr:rowOff>
        </xdr:to>
        <xdr:sp macro="" textlink="">
          <xdr:nvSpPr>
            <xdr:cNvPr id="1131" name="HL4_ComboBox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=""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11</xdr:row>
          <xdr:rowOff>19050</xdr:rowOff>
        </xdr:from>
        <xdr:to>
          <xdr:col>1</xdr:col>
          <xdr:colOff>647700</xdr:colOff>
          <xdr:row>12</xdr:row>
          <xdr:rowOff>0</xdr:rowOff>
        </xdr:to>
        <xdr:sp macro="" textlink="">
          <xdr:nvSpPr>
            <xdr:cNvPr id="1132" name="HL5_ComboBox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=""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12</xdr:row>
          <xdr:rowOff>19050</xdr:rowOff>
        </xdr:from>
        <xdr:to>
          <xdr:col>1</xdr:col>
          <xdr:colOff>647700</xdr:colOff>
          <xdr:row>13</xdr:row>
          <xdr:rowOff>0</xdr:rowOff>
        </xdr:to>
        <xdr:sp macro="" textlink="">
          <xdr:nvSpPr>
            <xdr:cNvPr id="1133" name="HL6_ComboBox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=""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13</xdr:row>
          <xdr:rowOff>19050</xdr:rowOff>
        </xdr:from>
        <xdr:to>
          <xdr:col>1</xdr:col>
          <xdr:colOff>647700</xdr:colOff>
          <xdr:row>14</xdr:row>
          <xdr:rowOff>0</xdr:rowOff>
        </xdr:to>
        <xdr:sp macro="" textlink="">
          <xdr:nvSpPr>
            <xdr:cNvPr id="1134" name="HL7_ComboBox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=""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6</xdr:row>
          <xdr:rowOff>57150</xdr:rowOff>
        </xdr:from>
        <xdr:to>
          <xdr:col>0</xdr:col>
          <xdr:colOff>828675</xdr:colOff>
          <xdr:row>6</xdr:row>
          <xdr:rowOff>209550</xdr:rowOff>
        </xdr:to>
        <xdr:sp macro="" textlink="">
          <xdr:nvSpPr>
            <xdr:cNvPr id="1135" name="HeadLine_Label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=""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7</xdr:row>
          <xdr:rowOff>47625</xdr:rowOff>
        </xdr:from>
        <xdr:to>
          <xdr:col>1</xdr:col>
          <xdr:colOff>876300</xdr:colOff>
          <xdr:row>7</xdr:row>
          <xdr:rowOff>238125</xdr:rowOff>
        </xdr:to>
        <xdr:sp macro="" textlink="">
          <xdr:nvSpPr>
            <xdr:cNvPr id="1136" name="XScaleOptBtn_1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=""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8</xdr:row>
          <xdr:rowOff>47625</xdr:rowOff>
        </xdr:from>
        <xdr:to>
          <xdr:col>1</xdr:col>
          <xdr:colOff>876300</xdr:colOff>
          <xdr:row>8</xdr:row>
          <xdr:rowOff>238125</xdr:rowOff>
        </xdr:to>
        <xdr:sp macro="" textlink="">
          <xdr:nvSpPr>
            <xdr:cNvPr id="1137" name="XScaleOptBtn_2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=""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9</xdr:row>
          <xdr:rowOff>47625</xdr:rowOff>
        </xdr:from>
        <xdr:to>
          <xdr:col>1</xdr:col>
          <xdr:colOff>876300</xdr:colOff>
          <xdr:row>9</xdr:row>
          <xdr:rowOff>238125</xdr:rowOff>
        </xdr:to>
        <xdr:sp macro="" textlink="">
          <xdr:nvSpPr>
            <xdr:cNvPr id="1138" name="XScaleOptBtn_3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=""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10</xdr:row>
          <xdr:rowOff>47625</xdr:rowOff>
        </xdr:from>
        <xdr:to>
          <xdr:col>1</xdr:col>
          <xdr:colOff>876300</xdr:colOff>
          <xdr:row>10</xdr:row>
          <xdr:rowOff>238125</xdr:rowOff>
        </xdr:to>
        <xdr:sp macro="" textlink="">
          <xdr:nvSpPr>
            <xdr:cNvPr id="1139" name="XScaleOptBtn_4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=""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11</xdr:row>
          <xdr:rowOff>57150</xdr:rowOff>
        </xdr:from>
        <xdr:to>
          <xdr:col>1</xdr:col>
          <xdr:colOff>876300</xdr:colOff>
          <xdr:row>12</xdr:row>
          <xdr:rowOff>0</xdr:rowOff>
        </xdr:to>
        <xdr:sp macro="" textlink="">
          <xdr:nvSpPr>
            <xdr:cNvPr id="1140" name="XScaleOptBtn_5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=""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12</xdr:row>
          <xdr:rowOff>57150</xdr:rowOff>
        </xdr:from>
        <xdr:to>
          <xdr:col>1</xdr:col>
          <xdr:colOff>876300</xdr:colOff>
          <xdr:row>13</xdr:row>
          <xdr:rowOff>0</xdr:rowOff>
        </xdr:to>
        <xdr:sp macro="" textlink="">
          <xdr:nvSpPr>
            <xdr:cNvPr id="1141" name="XScaleOptBtn_6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=""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13</xdr:row>
          <xdr:rowOff>57150</xdr:rowOff>
        </xdr:from>
        <xdr:to>
          <xdr:col>1</xdr:col>
          <xdr:colOff>876300</xdr:colOff>
          <xdr:row>14</xdr:row>
          <xdr:rowOff>0</xdr:rowOff>
        </xdr:to>
        <xdr:sp macro="" textlink="">
          <xdr:nvSpPr>
            <xdr:cNvPr id="1142" name="XScaleOptBtn_7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=""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962025</xdr:colOff>
          <xdr:row>5</xdr:row>
          <xdr:rowOff>219075</xdr:rowOff>
        </xdr:from>
        <xdr:to>
          <xdr:col>1</xdr:col>
          <xdr:colOff>361950</xdr:colOff>
          <xdr:row>7</xdr:row>
          <xdr:rowOff>0</xdr:rowOff>
        </xdr:to>
        <xdr:sp macro="" textlink="">
          <xdr:nvSpPr>
            <xdr:cNvPr id="1147" name="HL_Object_Init_Btn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=""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933450</xdr:colOff>
          <xdr:row>7</xdr:row>
          <xdr:rowOff>47625</xdr:rowOff>
        </xdr:from>
        <xdr:to>
          <xdr:col>1</xdr:col>
          <xdr:colOff>1123950</xdr:colOff>
          <xdr:row>7</xdr:row>
          <xdr:rowOff>238125</xdr:rowOff>
        </xdr:to>
        <xdr:sp macro="" textlink="">
          <xdr:nvSpPr>
            <xdr:cNvPr id="1149" name="PIOptBtn_1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=""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933450</xdr:colOff>
          <xdr:row>8</xdr:row>
          <xdr:rowOff>47625</xdr:rowOff>
        </xdr:from>
        <xdr:to>
          <xdr:col>1</xdr:col>
          <xdr:colOff>1123950</xdr:colOff>
          <xdr:row>8</xdr:row>
          <xdr:rowOff>238125</xdr:rowOff>
        </xdr:to>
        <xdr:sp macro="" textlink="">
          <xdr:nvSpPr>
            <xdr:cNvPr id="1150" name="PIOptBtn_2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=""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933450</xdr:colOff>
          <xdr:row>9</xdr:row>
          <xdr:rowOff>47625</xdr:rowOff>
        </xdr:from>
        <xdr:to>
          <xdr:col>1</xdr:col>
          <xdr:colOff>1123950</xdr:colOff>
          <xdr:row>9</xdr:row>
          <xdr:rowOff>238125</xdr:rowOff>
        </xdr:to>
        <xdr:sp macro="" textlink="">
          <xdr:nvSpPr>
            <xdr:cNvPr id="1151" name="PIOptBtn_3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=""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933450</xdr:colOff>
          <xdr:row>10</xdr:row>
          <xdr:rowOff>47625</xdr:rowOff>
        </xdr:from>
        <xdr:to>
          <xdr:col>1</xdr:col>
          <xdr:colOff>1123950</xdr:colOff>
          <xdr:row>10</xdr:row>
          <xdr:rowOff>238125</xdr:rowOff>
        </xdr:to>
        <xdr:sp macro="" textlink="">
          <xdr:nvSpPr>
            <xdr:cNvPr id="1152" name="PIOptBtn_4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=""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933450</xdr:colOff>
          <xdr:row>11</xdr:row>
          <xdr:rowOff>57150</xdr:rowOff>
        </xdr:from>
        <xdr:to>
          <xdr:col>1</xdr:col>
          <xdr:colOff>1123950</xdr:colOff>
          <xdr:row>12</xdr:row>
          <xdr:rowOff>0</xdr:rowOff>
        </xdr:to>
        <xdr:sp macro="" textlink="">
          <xdr:nvSpPr>
            <xdr:cNvPr id="1153" name="PIOptBtn_5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=""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933450</xdr:colOff>
          <xdr:row>12</xdr:row>
          <xdr:rowOff>57150</xdr:rowOff>
        </xdr:from>
        <xdr:to>
          <xdr:col>1</xdr:col>
          <xdr:colOff>1123950</xdr:colOff>
          <xdr:row>13</xdr:row>
          <xdr:rowOff>0</xdr:rowOff>
        </xdr:to>
        <xdr:sp macro="" textlink="">
          <xdr:nvSpPr>
            <xdr:cNvPr id="1154" name="PIOptBtn_6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=""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933450</xdr:colOff>
          <xdr:row>13</xdr:row>
          <xdr:rowOff>57150</xdr:rowOff>
        </xdr:from>
        <xdr:to>
          <xdr:col>1</xdr:col>
          <xdr:colOff>1123950</xdr:colOff>
          <xdr:row>14</xdr:row>
          <xdr:rowOff>0</xdr:rowOff>
        </xdr:to>
        <xdr:sp macro="" textlink="">
          <xdr:nvSpPr>
            <xdr:cNvPr id="1155" name="PIOptBtn_7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=""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247650</xdr:rowOff>
        </xdr:from>
        <xdr:to>
          <xdr:col>4</xdr:col>
          <xdr:colOff>1104900</xdr:colOff>
          <xdr:row>0</xdr:row>
          <xdr:rowOff>476250</xdr:rowOff>
        </xdr:to>
        <xdr:sp macro="" textlink="">
          <xdr:nvSpPr>
            <xdr:cNvPr id="1157" name="Energy_0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=""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457200</xdr:rowOff>
        </xdr:from>
        <xdr:to>
          <xdr:col>4</xdr:col>
          <xdr:colOff>1104900</xdr:colOff>
          <xdr:row>0</xdr:row>
          <xdr:rowOff>685800</xdr:rowOff>
        </xdr:to>
        <xdr:sp macro="" textlink="">
          <xdr:nvSpPr>
            <xdr:cNvPr id="1158" name="Energy_1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=""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14</xdr:row>
          <xdr:rowOff>57150</xdr:rowOff>
        </xdr:from>
        <xdr:to>
          <xdr:col>0</xdr:col>
          <xdr:colOff>219075</xdr:colOff>
          <xdr:row>15</xdr:row>
          <xdr:rowOff>0</xdr:rowOff>
        </xdr:to>
        <xdr:sp macro="" textlink="">
          <xdr:nvSpPr>
            <xdr:cNvPr id="1159" name="HL8_CheckBox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=""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14</xdr:row>
          <xdr:rowOff>19050</xdr:rowOff>
        </xdr:from>
        <xdr:to>
          <xdr:col>1</xdr:col>
          <xdr:colOff>647700</xdr:colOff>
          <xdr:row>15</xdr:row>
          <xdr:rowOff>0</xdr:rowOff>
        </xdr:to>
        <xdr:sp macro="" textlink="">
          <xdr:nvSpPr>
            <xdr:cNvPr id="1160" name="HL8_ComboBox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=""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14</xdr:row>
          <xdr:rowOff>57150</xdr:rowOff>
        </xdr:from>
        <xdr:to>
          <xdr:col>1</xdr:col>
          <xdr:colOff>876300</xdr:colOff>
          <xdr:row>15</xdr:row>
          <xdr:rowOff>0</xdr:rowOff>
        </xdr:to>
        <xdr:sp macro="" textlink="">
          <xdr:nvSpPr>
            <xdr:cNvPr id="1161" name="XScaleOptBtn_8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=""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933450</xdr:colOff>
          <xdr:row>14</xdr:row>
          <xdr:rowOff>57150</xdr:rowOff>
        </xdr:from>
        <xdr:to>
          <xdr:col>1</xdr:col>
          <xdr:colOff>1123950</xdr:colOff>
          <xdr:row>15</xdr:row>
          <xdr:rowOff>0</xdr:rowOff>
        </xdr:to>
        <xdr:sp macro="" textlink="">
          <xdr:nvSpPr>
            <xdr:cNvPr id="1162" name="PIOptBtn_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=""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15</xdr:row>
          <xdr:rowOff>57150</xdr:rowOff>
        </xdr:from>
        <xdr:to>
          <xdr:col>0</xdr:col>
          <xdr:colOff>219075</xdr:colOff>
          <xdr:row>16</xdr:row>
          <xdr:rowOff>0</xdr:rowOff>
        </xdr:to>
        <xdr:sp macro="" textlink="">
          <xdr:nvSpPr>
            <xdr:cNvPr id="1163" name="HL9_CheckBox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=""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15</xdr:row>
          <xdr:rowOff>19050</xdr:rowOff>
        </xdr:from>
        <xdr:to>
          <xdr:col>1</xdr:col>
          <xdr:colOff>647700</xdr:colOff>
          <xdr:row>16</xdr:row>
          <xdr:rowOff>0</xdr:rowOff>
        </xdr:to>
        <xdr:sp macro="" textlink="">
          <xdr:nvSpPr>
            <xdr:cNvPr id="1164" name="HL9_ComboBox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=""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15</xdr:row>
          <xdr:rowOff>57150</xdr:rowOff>
        </xdr:from>
        <xdr:to>
          <xdr:col>1</xdr:col>
          <xdr:colOff>876300</xdr:colOff>
          <xdr:row>16</xdr:row>
          <xdr:rowOff>0</xdr:rowOff>
        </xdr:to>
        <xdr:sp macro="" textlink="">
          <xdr:nvSpPr>
            <xdr:cNvPr id="1165" name="XScaleOptBtn_9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=""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933450</xdr:colOff>
          <xdr:row>15</xdr:row>
          <xdr:rowOff>57150</xdr:rowOff>
        </xdr:from>
        <xdr:to>
          <xdr:col>1</xdr:col>
          <xdr:colOff>1123950</xdr:colOff>
          <xdr:row>16</xdr:row>
          <xdr:rowOff>0</xdr:rowOff>
        </xdr:to>
        <xdr:sp macro="" textlink="">
          <xdr:nvSpPr>
            <xdr:cNvPr id="1166" name="PIOptBtn_9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=""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16</xdr:row>
          <xdr:rowOff>57150</xdr:rowOff>
        </xdr:from>
        <xdr:to>
          <xdr:col>0</xdr:col>
          <xdr:colOff>219075</xdr:colOff>
          <xdr:row>17</xdr:row>
          <xdr:rowOff>0</xdr:rowOff>
        </xdr:to>
        <xdr:sp macro="" textlink="">
          <xdr:nvSpPr>
            <xdr:cNvPr id="1167" name="HL10_CheckBox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="" xmlns:a16="http://schemas.microsoft.com/office/drawing/2014/main" id="{396BCD8E-EA5B-4FE9-B4CA-A0B81D9911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16</xdr:row>
          <xdr:rowOff>19050</xdr:rowOff>
        </xdr:from>
        <xdr:to>
          <xdr:col>1</xdr:col>
          <xdr:colOff>647700</xdr:colOff>
          <xdr:row>17</xdr:row>
          <xdr:rowOff>0</xdr:rowOff>
        </xdr:to>
        <xdr:sp macro="" textlink="">
          <xdr:nvSpPr>
            <xdr:cNvPr id="1168" name="HL10_ComboBox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="" xmlns:a16="http://schemas.microsoft.com/office/drawing/2014/main" id="{E21A8495-FC54-4977-B647-378D08015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16</xdr:row>
          <xdr:rowOff>57150</xdr:rowOff>
        </xdr:from>
        <xdr:to>
          <xdr:col>1</xdr:col>
          <xdr:colOff>876300</xdr:colOff>
          <xdr:row>17</xdr:row>
          <xdr:rowOff>0</xdr:rowOff>
        </xdr:to>
        <xdr:sp macro="" textlink="">
          <xdr:nvSpPr>
            <xdr:cNvPr id="1169" name="XScaleOptBtn_10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="" xmlns:a16="http://schemas.microsoft.com/office/drawing/2014/main" id="{E33397D3-0A1F-4F45-9AFF-B63364DFB5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933450</xdr:colOff>
          <xdr:row>16</xdr:row>
          <xdr:rowOff>57150</xdr:rowOff>
        </xdr:from>
        <xdr:to>
          <xdr:col>1</xdr:col>
          <xdr:colOff>1123950</xdr:colOff>
          <xdr:row>17</xdr:row>
          <xdr:rowOff>0</xdr:rowOff>
        </xdr:to>
        <xdr:sp macro="" textlink="">
          <xdr:nvSpPr>
            <xdr:cNvPr id="1170" name="PIOptBtn_10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="" xmlns:a16="http://schemas.microsoft.com/office/drawing/2014/main" id="{19CFDFCA-3CAF-47ED-9222-E7A3FE8E99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581025</xdr:colOff>
      <xdr:row>14</xdr:row>
      <xdr:rowOff>76199</xdr:rowOff>
    </xdr:from>
    <xdr:to>
      <xdr:col>11</xdr:col>
      <xdr:colOff>495300</xdr:colOff>
      <xdr:row>32</xdr:row>
      <xdr:rowOff>38100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352425</xdr:colOff>
      <xdr:row>21</xdr:row>
      <xdr:rowOff>38099</xdr:rowOff>
    </xdr:from>
    <xdr:to>
      <xdr:col>19</xdr:col>
      <xdr:colOff>295275</xdr:colOff>
      <xdr:row>39</xdr:row>
      <xdr:rowOff>66674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123824</xdr:colOff>
      <xdr:row>44</xdr:row>
      <xdr:rowOff>28575</xdr:rowOff>
    </xdr:from>
    <xdr:to>
      <xdr:col>18</xdr:col>
      <xdr:colOff>266699</xdr:colOff>
      <xdr:row>62</xdr:row>
      <xdr:rowOff>9525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2</xdr:row>
          <xdr:rowOff>152400</xdr:rowOff>
        </xdr:from>
        <xdr:to>
          <xdr:col>3</xdr:col>
          <xdr:colOff>19050</xdr:colOff>
          <xdr:row>4</xdr:row>
          <xdr:rowOff>47625</xdr:rowOff>
        </xdr:to>
        <xdr:sp macro="" textlink="">
          <xdr:nvSpPr>
            <xdr:cNvPr id="182273" name="RngCopy" hidden="1">
              <a:extLst>
                <a:ext uri="{63B3BB69-23CF-44E3-9099-C40C66FF867C}">
                  <a14:compatExt spid="_x0000_s182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368300</xdr:colOff>
      <xdr:row>4</xdr:row>
      <xdr:rowOff>0</xdr:rowOff>
    </xdr:from>
    <xdr:to>
      <xdr:col>15</xdr:col>
      <xdr:colOff>444500</xdr:colOff>
      <xdr:row>20</xdr:row>
      <xdr:rowOff>127000</xdr:rowOff>
    </xdr:to>
    <xdr:graphicFrame macro="">
      <xdr:nvGraphicFramePr>
        <xdr:cNvPr id="2" name="BG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4</xdr:row>
          <xdr:rowOff>76200</xdr:rowOff>
        </xdr:from>
        <xdr:to>
          <xdr:col>15</xdr:col>
          <xdr:colOff>381000</xdr:colOff>
          <xdr:row>13</xdr:row>
          <xdr:rowOff>19050</xdr:rowOff>
        </xdr:to>
        <xdr:sp macro="" textlink="">
          <xdr:nvSpPr>
            <xdr:cNvPr id="182274" name="FmlListBox" hidden="1">
              <a:extLst>
                <a:ext uri="{63B3BB69-23CF-44E3-9099-C40C66FF867C}">
                  <a14:compatExt spid="_x0000_s182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419100</xdr:colOff>
      <xdr:row>4</xdr:row>
      <xdr:rowOff>0</xdr:rowOff>
    </xdr:from>
    <xdr:to>
      <xdr:col>11</xdr:col>
      <xdr:colOff>596900</xdr:colOff>
      <xdr:row>20</xdr:row>
      <xdr:rowOff>127000</xdr:rowOff>
    </xdr:to>
    <xdr:graphicFrame macro="">
      <xdr:nvGraphicFramePr>
        <xdr:cNvPr id="3" name="Result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13</xdr:row>
          <xdr:rowOff>57150</xdr:rowOff>
        </xdr:from>
        <xdr:to>
          <xdr:col>14</xdr:col>
          <xdr:colOff>419100</xdr:colOff>
          <xdr:row>14</xdr:row>
          <xdr:rowOff>95250</xdr:rowOff>
        </xdr:to>
        <xdr:sp macro="" textlink="">
          <xdr:nvSpPr>
            <xdr:cNvPr id="182275" name="Label1" hidden="1">
              <a:extLst>
                <a:ext uri="{63B3BB69-23CF-44E3-9099-C40C66FF867C}">
                  <a14:compatExt spid="_x0000_s182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14</xdr:row>
          <xdr:rowOff>95250</xdr:rowOff>
        </xdr:from>
        <xdr:to>
          <xdr:col>14</xdr:col>
          <xdr:colOff>238125</xdr:colOff>
          <xdr:row>15</xdr:row>
          <xdr:rowOff>133350</xdr:rowOff>
        </xdr:to>
        <xdr:sp macro="" textlink="">
          <xdr:nvSpPr>
            <xdr:cNvPr id="182276" name="Label2" hidden="1">
              <a:extLst>
                <a:ext uri="{63B3BB69-23CF-44E3-9099-C40C66FF867C}">
                  <a14:compatExt spid="_x0000_s182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14</xdr:row>
          <xdr:rowOff>76200</xdr:rowOff>
        </xdr:from>
        <xdr:to>
          <xdr:col>13</xdr:col>
          <xdr:colOff>552450</xdr:colOff>
          <xdr:row>15</xdr:row>
          <xdr:rowOff>114300</xdr:rowOff>
        </xdr:to>
        <xdr:sp macro="" textlink="">
          <xdr:nvSpPr>
            <xdr:cNvPr id="182277" name="XScaleMin" hidden="1">
              <a:extLst>
                <a:ext uri="{63B3BB69-23CF-44E3-9099-C40C66FF867C}">
                  <a14:compatExt spid="_x0000_s182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14</xdr:row>
          <xdr:rowOff>76200</xdr:rowOff>
        </xdr:from>
        <xdr:to>
          <xdr:col>15</xdr:col>
          <xdr:colOff>276225</xdr:colOff>
          <xdr:row>15</xdr:row>
          <xdr:rowOff>114300</xdr:rowOff>
        </xdr:to>
        <xdr:sp macro="" textlink="">
          <xdr:nvSpPr>
            <xdr:cNvPr id="182278" name="XScaleMax" hidden="1">
              <a:extLst>
                <a:ext uri="{63B3BB69-23CF-44E3-9099-C40C66FF867C}">
                  <a14:compatExt spid="_x0000_s182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16</xdr:row>
          <xdr:rowOff>0</xdr:rowOff>
        </xdr:from>
        <xdr:to>
          <xdr:col>14</xdr:col>
          <xdr:colOff>76200</xdr:colOff>
          <xdr:row>17</xdr:row>
          <xdr:rowOff>38100</xdr:rowOff>
        </xdr:to>
        <xdr:sp macro="" textlink="">
          <xdr:nvSpPr>
            <xdr:cNvPr id="182279" name="Label3" hidden="1">
              <a:extLst>
                <a:ext uri="{63B3BB69-23CF-44E3-9099-C40C66FF867C}">
                  <a14:compatExt spid="_x0000_s182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15</xdr:row>
          <xdr:rowOff>161925</xdr:rowOff>
        </xdr:from>
        <xdr:to>
          <xdr:col>15</xdr:col>
          <xdr:colOff>342900</xdr:colOff>
          <xdr:row>17</xdr:row>
          <xdr:rowOff>9525</xdr:rowOff>
        </xdr:to>
        <xdr:sp macro="" textlink="">
          <xdr:nvSpPr>
            <xdr:cNvPr id="182280" name="YScaleLogarithmic" hidden="1">
              <a:extLst>
                <a:ext uri="{63B3BB69-23CF-44E3-9099-C40C66FF867C}">
                  <a14:compatExt spid="_x0000_s182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17</xdr:row>
          <xdr:rowOff>38100</xdr:rowOff>
        </xdr:from>
        <xdr:to>
          <xdr:col>14</xdr:col>
          <xdr:colOff>238125</xdr:colOff>
          <xdr:row>18</xdr:row>
          <xdr:rowOff>76200</xdr:rowOff>
        </xdr:to>
        <xdr:sp macro="" textlink="">
          <xdr:nvSpPr>
            <xdr:cNvPr id="182281" name="Label4" hidden="1">
              <a:extLst>
                <a:ext uri="{63B3BB69-23CF-44E3-9099-C40C66FF867C}">
                  <a14:compatExt spid="_x0000_s182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17</xdr:row>
          <xdr:rowOff>9525</xdr:rowOff>
        </xdr:from>
        <xdr:to>
          <xdr:col>13</xdr:col>
          <xdr:colOff>552450</xdr:colOff>
          <xdr:row>18</xdr:row>
          <xdr:rowOff>47625</xdr:rowOff>
        </xdr:to>
        <xdr:sp macro="" textlink="">
          <xdr:nvSpPr>
            <xdr:cNvPr id="182282" name="YScaleMin" hidden="1">
              <a:extLst>
                <a:ext uri="{63B3BB69-23CF-44E3-9099-C40C66FF867C}">
                  <a14:compatExt spid="_x0000_s182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17</xdr:row>
          <xdr:rowOff>9525</xdr:rowOff>
        </xdr:from>
        <xdr:to>
          <xdr:col>15</xdr:col>
          <xdr:colOff>276225</xdr:colOff>
          <xdr:row>18</xdr:row>
          <xdr:rowOff>47625</xdr:rowOff>
        </xdr:to>
        <xdr:sp macro="" textlink="">
          <xdr:nvSpPr>
            <xdr:cNvPr id="182283" name="YScaleMax" hidden="1">
              <a:extLst>
                <a:ext uri="{63B3BB69-23CF-44E3-9099-C40C66FF867C}">
                  <a14:compatExt spid="_x0000_s182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552450</xdr:colOff>
          <xdr:row>18</xdr:row>
          <xdr:rowOff>123825</xdr:rowOff>
        </xdr:from>
        <xdr:to>
          <xdr:col>14</xdr:col>
          <xdr:colOff>381000</xdr:colOff>
          <xdr:row>20</xdr:row>
          <xdr:rowOff>19050</xdr:rowOff>
        </xdr:to>
        <xdr:sp macro="" textlink="">
          <xdr:nvSpPr>
            <xdr:cNvPr id="182284" name="ScaleYes" hidden="1">
              <a:extLst>
                <a:ext uri="{63B3BB69-23CF-44E3-9099-C40C66FF867C}">
                  <a14:compatExt spid="_x0000_s182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18</xdr:row>
          <xdr:rowOff>123825</xdr:rowOff>
        </xdr:from>
        <xdr:to>
          <xdr:col>15</xdr:col>
          <xdr:colOff>276225</xdr:colOff>
          <xdr:row>20</xdr:row>
          <xdr:rowOff>19050</xdr:rowOff>
        </xdr:to>
        <xdr:sp macro="" textlink="">
          <xdr:nvSpPr>
            <xdr:cNvPr id="182285" name="ScaleDefault" hidden="1">
              <a:extLst>
                <a:ext uri="{63B3BB69-23CF-44E3-9099-C40C66FF867C}">
                  <a14:compatExt spid="_x0000_s182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2</xdr:row>
          <xdr:rowOff>152400</xdr:rowOff>
        </xdr:from>
        <xdr:to>
          <xdr:col>3</xdr:col>
          <xdr:colOff>19050</xdr:colOff>
          <xdr:row>4</xdr:row>
          <xdr:rowOff>47625</xdr:rowOff>
        </xdr:to>
        <xdr:sp macro="" textlink="">
          <xdr:nvSpPr>
            <xdr:cNvPr id="183297" name="RngCopy" hidden="1">
              <a:extLst>
                <a:ext uri="{63B3BB69-23CF-44E3-9099-C40C66FF867C}">
                  <a14:compatExt spid="_x0000_s183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368300</xdr:colOff>
      <xdr:row>4</xdr:row>
      <xdr:rowOff>0</xdr:rowOff>
    </xdr:from>
    <xdr:to>
      <xdr:col>15</xdr:col>
      <xdr:colOff>444500</xdr:colOff>
      <xdr:row>20</xdr:row>
      <xdr:rowOff>127000</xdr:rowOff>
    </xdr:to>
    <xdr:graphicFrame macro="">
      <xdr:nvGraphicFramePr>
        <xdr:cNvPr id="2" name="BG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4</xdr:row>
          <xdr:rowOff>76200</xdr:rowOff>
        </xdr:from>
        <xdr:to>
          <xdr:col>15</xdr:col>
          <xdr:colOff>381000</xdr:colOff>
          <xdr:row>13</xdr:row>
          <xdr:rowOff>19050</xdr:rowOff>
        </xdr:to>
        <xdr:sp macro="" textlink="">
          <xdr:nvSpPr>
            <xdr:cNvPr id="183298" name="FmlListBox" hidden="1">
              <a:extLst>
                <a:ext uri="{63B3BB69-23CF-44E3-9099-C40C66FF867C}">
                  <a14:compatExt spid="_x0000_s183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419100</xdr:colOff>
      <xdr:row>4</xdr:row>
      <xdr:rowOff>0</xdr:rowOff>
    </xdr:from>
    <xdr:to>
      <xdr:col>11</xdr:col>
      <xdr:colOff>596900</xdr:colOff>
      <xdr:row>20</xdr:row>
      <xdr:rowOff>127000</xdr:rowOff>
    </xdr:to>
    <xdr:graphicFrame macro="">
      <xdr:nvGraphicFramePr>
        <xdr:cNvPr id="3" name="Result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13</xdr:row>
          <xdr:rowOff>57150</xdr:rowOff>
        </xdr:from>
        <xdr:to>
          <xdr:col>14</xdr:col>
          <xdr:colOff>419100</xdr:colOff>
          <xdr:row>14</xdr:row>
          <xdr:rowOff>95250</xdr:rowOff>
        </xdr:to>
        <xdr:sp macro="" textlink="">
          <xdr:nvSpPr>
            <xdr:cNvPr id="183299" name="Label1" hidden="1">
              <a:extLst>
                <a:ext uri="{63B3BB69-23CF-44E3-9099-C40C66FF867C}">
                  <a14:compatExt spid="_x0000_s183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14</xdr:row>
          <xdr:rowOff>95250</xdr:rowOff>
        </xdr:from>
        <xdr:to>
          <xdr:col>14</xdr:col>
          <xdr:colOff>238125</xdr:colOff>
          <xdr:row>15</xdr:row>
          <xdr:rowOff>133350</xdr:rowOff>
        </xdr:to>
        <xdr:sp macro="" textlink="">
          <xdr:nvSpPr>
            <xdr:cNvPr id="183300" name="Label2" hidden="1">
              <a:extLst>
                <a:ext uri="{63B3BB69-23CF-44E3-9099-C40C66FF867C}">
                  <a14:compatExt spid="_x0000_s183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14</xdr:row>
          <xdr:rowOff>76200</xdr:rowOff>
        </xdr:from>
        <xdr:to>
          <xdr:col>13</xdr:col>
          <xdr:colOff>552450</xdr:colOff>
          <xdr:row>15</xdr:row>
          <xdr:rowOff>114300</xdr:rowOff>
        </xdr:to>
        <xdr:sp macro="" textlink="">
          <xdr:nvSpPr>
            <xdr:cNvPr id="183301" name="XScaleMin" hidden="1">
              <a:extLst>
                <a:ext uri="{63B3BB69-23CF-44E3-9099-C40C66FF867C}">
                  <a14:compatExt spid="_x0000_s183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14</xdr:row>
          <xdr:rowOff>76200</xdr:rowOff>
        </xdr:from>
        <xdr:to>
          <xdr:col>15</xdr:col>
          <xdr:colOff>276225</xdr:colOff>
          <xdr:row>15</xdr:row>
          <xdr:rowOff>114300</xdr:rowOff>
        </xdr:to>
        <xdr:sp macro="" textlink="">
          <xdr:nvSpPr>
            <xdr:cNvPr id="183302" name="XScaleMax" hidden="1">
              <a:extLst>
                <a:ext uri="{63B3BB69-23CF-44E3-9099-C40C66FF867C}">
                  <a14:compatExt spid="_x0000_s183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16</xdr:row>
          <xdr:rowOff>0</xdr:rowOff>
        </xdr:from>
        <xdr:to>
          <xdr:col>14</xdr:col>
          <xdr:colOff>76200</xdr:colOff>
          <xdr:row>17</xdr:row>
          <xdr:rowOff>38100</xdr:rowOff>
        </xdr:to>
        <xdr:sp macro="" textlink="">
          <xdr:nvSpPr>
            <xdr:cNvPr id="183303" name="Label3" hidden="1">
              <a:extLst>
                <a:ext uri="{63B3BB69-23CF-44E3-9099-C40C66FF867C}">
                  <a14:compatExt spid="_x0000_s183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15</xdr:row>
          <xdr:rowOff>161925</xdr:rowOff>
        </xdr:from>
        <xdr:to>
          <xdr:col>15</xdr:col>
          <xdr:colOff>342900</xdr:colOff>
          <xdr:row>17</xdr:row>
          <xdr:rowOff>9525</xdr:rowOff>
        </xdr:to>
        <xdr:sp macro="" textlink="">
          <xdr:nvSpPr>
            <xdr:cNvPr id="183304" name="YScaleLogarithmic" hidden="1">
              <a:extLst>
                <a:ext uri="{63B3BB69-23CF-44E3-9099-C40C66FF867C}">
                  <a14:compatExt spid="_x0000_s183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17</xdr:row>
          <xdr:rowOff>38100</xdr:rowOff>
        </xdr:from>
        <xdr:to>
          <xdr:col>14</xdr:col>
          <xdr:colOff>238125</xdr:colOff>
          <xdr:row>18</xdr:row>
          <xdr:rowOff>76200</xdr:rowOff>
        </xdr:to>
        <xdr:sp macro="" textlink="">
          <xdr:nvSpPr>
            <xdr:cNvPr id="183305" name="Label4" hidden="1">
              <a:extLst>
                <a:ext uri="{63B3BB69-23CF-44E3-9099-C40C66FF867C}">
                  <a14:compatExt spid="_x0000_s183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17</xdr:row>
          <xdr:rowOff>9525</xdr:rowOff>
        </xdr:from>
        <xdr:to>
          <xdr:col>13</xdr:col>
          <xdr:colOff>552450</xdr:colOff>
          <xdr:row>18</xdr:row>
          <xdr:rowOff>47625</xdr:rowOff>
        </xdr:to>
        <xdr:sp macro="" textlink="">
          <xdr:nvSpPr>
            <xdr:cNvPr id="183306" name="YScaleMin" hidden="1">
              <a:extLst>
                <a:ext uri="{63B3BB69-23CF-44E3-9099-C40C66FF867C}">
                  <a14:compatExt spid="_x0000_s183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17</xdr:row>
          <xdr:rowOff>9525</xdr:rowOff>
        </xdr:from>
        <xdr:to>
          <xdr:col>15</xdr:col>
          <xdr:colOff>276225</xdr:colOff>
          <xdr:row>18</xdr:row>
          <xdr:rowOff>47625</xdr:rowOff>
        </xdr:to>
        <xdr:sp macro="" textlink="">
          <xdr:nvSpPr>
            <xdr:cNvPr id="183307" name="YScaleMax" hidden="1">
              <a:extLst>
                <a:ext uri="{63B3BB69-23CF-44E3-9099-C40C66FF867C}">
                  <a14:compatExt spid="_x0000_s183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552450</xdr:colOff>
          <xdr:row>18</xdr:row>
          <xdr:rowOff>123825</xdr:rowOff>
        </xdr:from>
        <xdr:to>
          <xdr:col>14</xdr:col>
          <xdr:colOff>381000</xdr:colOff>
          <xdr:row>20</xdr:row>
          <xdr:rowOff>19050</xdr:rowOff>
        </xdr:to>
        <xdr:sp macro="" textlink="">
          <xdr:nvSpPr>
            <xdr:cNvPr id="183308" name="ScaleYes" hidden="1">
              <a:extLst>
                <a:ext uri="{63B3BB69-23CF-44E3-9099-C40C66FF867C}">
                  <a14:compatExt spid="_x0000_s183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18</xdr:row>
          <xdr:rowOff>123825</xdr:rowOff>
        </xdr:from>
        <xdr:to>
          <xdr:col>15</xdr:col>
          <xdr:colOff>276225</xdr:colOff>
          <xdr:row>20</xdr:row>
          <xdr:rowOff>19050</xdr:rowOff>
        </xdr:to>
        <xdr:sp macro="" textlink="">
          <xdr:nvSpPr>
            <xdr:cNvPr id="183309" name="ScaleDefault" hidden="1">
              <a:extLst>
                <a:ext uri="{63B3BB69-23CF-44E3-9099-C40C66FF867C}">
                  <a14:compatExt spid="_x0000_s183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2</xdr:row>
          <xdr:rowOff>152400</xdr:rowOff>
        </xdr:from>
        <xdr:to>
          <xdr:col>3</xdr:col>
          <xdr:colOff>19050</xdr:colOff>
          <xdr:row>4</xdr:row>
          <xdr:rowOff>47625</xdr:rowOff>
        </xdr:to>
        <xdr:sp macro="" textlink="">
          <xdr:nvSpPr>
            <xdr:cNvPr id="184321" name="RngCopy" hidden="1">
              <a:extLst>
                <a:ext uri="{63B3BB69-23CF-44E3-9099-C40C66FF867C}">
                  <a14:compatExt spid="_x0000_s184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368300</xdr:colOff>
      <xdr:row>4</xdr:row>
      <xdr:rowOff>0</xdr:rowOff>
    </xdr:from>
    <xdr:to>
      <xdr:col>15</xdr:col>
      <xdr:colOff>444500</xdr:colOff>
      <xdr:row>20</xdr:row>
      <xdr:rowOff>127000</xdr:rowOff>
    </xdr:to>
    <xdr:graphicFrame macro="">
      <xdr:nvGraphicFramePr>
        <xdr:cNvPr id="2" name="BG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4</xdr:row>
          <xdr:rowOff>76200</xdr:rowOff>
        </xdr:from>
        <xdr:to>
          <xdr:col>15</xdr:col>
          <xdr:colOff>381000</xdr:colOff>
          <xdr:row>13</xdr:row>
          <xdr:rowOff>19050</xdr:rowOff>
        </xdr:to>
        <xdr:sp macro="" textlink="">
          <xdr:nvSpPr>
            <xdr:cNvPr id="184322" name="FmlListBox" hidden="1">
              <a:extLst>
                <a:ext uri="{63B3BB69-23CF-44E3-9099-C40C66FF867C}">
                  <a14:compatExt spid="_x0000_s184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419100</xdr:colOff>
      <xdr:row>4</xdr:row>
      <xdr:rowOff>0</xdr:rowOff>
    </xdr:from>
    <xdr:to>
      <xdr:col>11</xdr:col>
      <xdr:colOff>596900</xdr:colOff>
      <xdr:row>20</xdr:row>
      <xdr:rowOff>127000</xdr:rowOff>
    </xdr:to>
    <xdr:graphicFrame macro="">
      <xdr:nvGraphicFramePr>
        <xdr:cNvPr id="3" name="Result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13</xdr:row>
          <xdr:rowOff>57150</xdr:rowOff>
        </xdr:from>
        <xdr:to>
          <xdr:col>14</xdr:col>
          <xdr:colOff>419100</xdr:colOff>
          <xdr:row>14</xdr:row>
          <xdr:rowOff>95250</xdr:rowOff>
        </xdr:to>
        <xdr:sp macro="" textlink="">
          <xdr:nvSpPr>
            <xdr:cNvPr id="184323" name="Label1" hidden="1">
              <a:extLst>
                <a:ext uri="{63B3BB69-23CF-44E3-9099-C40C66FF867C}">
                  <a14:compatExt spid="_x0000_s184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14</xdr:row>
          <xdr:rowOff>95250</xdr:rowOff>
        </xdr:from>
        <xdr:to>
          <xdr:col>14</xdr:col>
          <xdr:colOff>238125</xdr:colOff>
          <xdr:row>15</xdr:row>
          <xdr:rowOff>133350</xdr:rowOff>
        </xdr:to>
        <xdr:sp macro="" textlink="">
          <xdr:nvSpPr>
            <xdr:cNvPr id="184324" name="Label2" hidden="1">
              <a:extLst>
                <a:ext uri="{63B3BB69-23CF-44E3-9099-C40C66FF867C}">
                  <a14:compatExt spid="_x0000_s184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14</xdr:row>
          <xdr:rowOff>76200</xdr:rowOff>
        </xdr:from>
        <xdr:to>
          <xdr:col>13</xdr:col>
          <xdr:colOff>552450</xdr:colOff>
          <xdr:row>15</xdr:row>
          <xdr:rowOff>114300</xdr:rowOff>
        </xdr:to>
        <xdr:sp macro="" textlink="">
          <xdr:nvSpPr>
            <xdr:cNvPr id="184325" name="XScaleMin" hidden="1">
              <a:extLst>
                <a:ext uri="{63B3BB69-23CF-44E3-9099-C40C66FF867C}">
                  <a14:compatExt spid="_x0000_s184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14</xdr:row>
          <xdr:rowOff>76200</xdr:rowOff>
        </xdr:from>
        <xdr:to>
          <xdr:col>15</xdr:col>
          <xdr:colOff>276225</xdr:colOff>
          <xdr:row>15</xdr:row>
          <xdr:rowOff>114300</xdr:rowOff>
        </xdr:to>
        <xdr:sp macro="" textlink="">
          <xdr:nvSpPr>
            <xdr:cNvPr id="184326" name="XScaleMax" hidden="1">
              <a:extLst>
                <a:ext uri="{63B3BB69-23CF-44E3-9099-C40C66FF867C}">
                  <a14:compatExt spid="_x0000_s184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16</xdr:row>
          <xdr:rowOff>0</xdr:rowOff>
        </xdr:from>
        <xdr:to>
          <xdr:col>14</xdr:col>
          <xdr:colOff>76200</xdr:colOff>
          <xdr:row>17</xdr:row>
          <xdr:rowOff>38100</xdr:rowOff>
        </xdr:to>
        <xdr:sp macro="" textlink="">
          <xdr:nvSpPr>
            <xdr:cNvPr id="184327" name="Label3" hidden="1">
              <a:extLst>
                <a:ext uri="{63B3BB69-23CF-44E3-9099-C40C66FF867C}">
                  <a14:compatExt spid="_x0000_s184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15</xdr:row>
          <xdr:rowOff>161925</xdr:rowOff>
        </xdr:from>
        <xdr:to>
          <xdr:col>15</xdr:col>
          <xdr:colOff>342900</xdr:colOff>
          <xdr:row>17</xdr:row>
          <xdr:rowOff>9525</xdr:rowOff>
        </xdr:to>
        <xdr:sp macro="" textlink="">
          <xdr:nvSpPr>
            <xdr:cNvPr id="184328" name="YScaleLogarithmic" hidden="1">
              <a:extLst>
                <a:ext uri="{63B3BB69-23CF-44E3-9099-C40C66FF867C}">
                  <a14:compatExt spid="_x0000_s184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17</xdr:row>
          <xdr:rowOff>38100</xdr:rowOff>
        </xdr:from>
        <xdr:to>
          <xdr:col>14</xdr:col>
          <xdr:colOff>238125</xdr:colOff>
          <xdr:row>18</xdr:row>
          <xdr:rowOff>76200</xdr:rowOff>
        </xdr:to>
        <xdr:sp macro="" textlink="">
          <xdr:nvSpPr>
            <xdr:cNvPr id="184329" name="Label4" hidden="1">
              <a:extLst>
                <a:ext uri="{63B3BB69-23CF-44E3-9099-C40C66FF867C}">
                  <a14:compatExt spid="_x0000_s184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17</xdr:row>
          <xdr:rowOff>9525</xdr:rowOff>
        </xdr:from>
        <xdr:to>
          <xdr:col>13</xdr:col>
          <xdr:colOff>552450</xdr:colOff>
          <xdr:row>18</xdr:row>
          <xdr:rowOff>47625</xdr:rowOff>
        </xdr:to>
        <xdr:sp macro="" textlink="">
          <xdr:nvSpPr>
            <xdr:cNvPr id="184330" name="YScaleMin" hidden="1">
              <a:extLst>
                <a:ext uri="{63B3BB69-23CF-44E3-9099-C40C66FF867C}">
                  <a14:compatExt spid="_x0000_s184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17</xdr:row>
          <xdr:rowOff>9525</xdr:rowOff>
        </xdr:from>
        <xdr:to>
          <xdr:col>15</xdr:col>
          <xdr:colOff>276225</xdr:colOff>
          <xdr:row>18</xdr:row>
          <xdr:rowOff>47625</xdr:rowOff>
        </xdr:to>
        <xdr:sp macro="" textlink="">
          <xdr:nvSpPr>
            <xdr:cNvPr id="184331" name="YScaleMax" hidden="1">
              <a:extLst>
                <a:ext uri="{63B3BB69-23CF-44E3-9099-C40C66FF867C}">
                  <a14:compatExt spid="_x0000_s184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552450</xdr:colOff>
          <xdr:row>18</xdr:row>
          <xdr:rowOff>123825</xdr:rowOff>
        </xdr:from>
        <xdr:to>
          <xdr:col>14</xdr:col>
          <xdr:colOff>381000</xdr:colOff>
          <xdr:row>20</xdr:row>
          <xdr:rowOff>19050</xdr:rowOff>
        </xdr:to>
        <xdr:sp macro="" textlink="">
          <xdr:nvSpPr>
            <xdr:cNvPr id="184332" name="ScaleYes" hidden="1">
              <a:extLst>
                <a:ext uri="{63B3BB69-23CF-44E3-9099-C40C66FF867C}">
                  <a14:compatExt spid="_x0000_s184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18</xdr:row>
          <xdr:rowOff>123825</xdr:rowOff>
        </xdr:from>
        <xdr:to>
          <xdr:col>15</xdr:col>
          <xdr:colOff>276225</xdr:colOff>
          <xdr:row>20</xdr:row>
          <xdr:rowOff>19050</xdr:rowOff>
        </xdr:to>
        <xdr:sp macro="" textlink="">
          <xdr:nvSpPr>
            <xdr:cNvPr id="184333" name="ScaleDefault" hidden="1">
              <a:extLst>
                <a:ext uri="{63B3BB69-23CF-44E3-9099-C40C66FF867C}">
                  <a14:compatExt spid="_x0000_s184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2</xdr:row>
          <xdr:rowOff>152400</xdr:rowOff>
        </xdr:from>
        <xdr:to>
          <xdr:col>3</xdr:col>
          <xdr:colOff>19050</xdr:colOff>
          <xdr:row>4</xdr:row>
          <xdr:rowOff>47625</xdr:rowOff>
        </xdr:to>
        <xdr:sp macro="" textlink="">
          <xdr:nvSpPr>
            <xdr:cNvPr id="185345" name="RngCopy" hidden="1">
              <a:extLst>
                <a:ext uri="{63B3BB69-23CF-44E3-9099-C40C66FF867C}">
                  <a14:compatExt spid="_x0000_s18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368300</xdr:colOff>
      <xdr:row>4</xdr:row>
      <xdr:rowOff>0</xdr:rowOff>
    </xdr:from>
    <xdr:to>
      <xdr:col>15</xdr:col>
      <xdr:colOff>444500</xdr:colOff>
      <xdr:row>20</xdr:row>
      <xdr:rowOff>127000</xdr:rowOff>
    </xdr:to>
    <xdr:graphicFrame macro="">
      <xdr:nvGraphicFramePr>
        <xdr:cNvPr id="2" name="BG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4</xdr:row>
          <xdr:rowOff>76200</xdr:rowOff>
        </xdr:from>
        <xdr:to>
          <xdr:col>15</xdr:col>
          <xdr:colOff>381000</xdr:colOff>
          <xdr:row>13</xdr:row>
          <xdr:rowOff>19050</xdr:rowOff>
        </xdr:to>
        <xdr:sp macro="" textlink="">
          <xdr:nvSpPr>
            <xdr:cNvPr id="185346" name="FmlListBox" hidden="1">
              <a:extLst>
                <a:ext uri="{63B3BB69-23CF-44E3-9099-C40C66FF867C}">
                  <a14:compatExt spid="_x0000_s18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419100</xdr:colOff>
      <xdr:row>4</xdr:row>
      <xdr:rowOff>0</xdr:rowOff>
    </xdr:from>
    <xdr:to>
      <xdr:col>11</xdr:col>
      <xdr:colOff>596900</xdr:colOff>
      <xdr:row>20</xdr:row>
      <xdr:rowOff>127000</xdr:rowOff>
    </xdr:to>
    <xdr:graphicFrame macro="">
      <xdr:nvGraphicFramePr>
        <xdr:cNvPr id="3" name="Result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13</xdr:row>
          <xdr:rowOff>57150</xdr:rowOff>
        </xdr:from>
        <xdr:to>
          <xdr:col>14</xdr:col>
          <xdr:colOff>419100</xdr:colOff>
          <xdr:row>14</xdr:row>
          <xdr:rowOff>95250</xdr:rowOff>
        </xdr:to>
        <xdr:sp macro="" textlink="">
          <xdr:nvSpPr>
            <xdr:cNvPr id="185347" name="Label1" hidden="1">
              <a:extLst>
                <a:ext uri="{63B3BB69-23CF-44E3-9099-C40C66FF867C}">
                  <a14:compatExt spid="_x0000_s18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14</xdr:row>
          <xdr:rowOff>95250</xdr:rowOff>
        </xdr:from>
        <xdr:to>
          <xdr:col>14</xdr:col>
          <xdr:colOff>238125</xdr:colOff>
          <xdr:row>15</xdr:row>
          <xdr:rowOff>133350</xdr:rowOff>
        </xdr:to>
        <xdr:sp macro="" textlink="">
          <xdr:nvSpPr>
            <xdr:cNvPr id="185348" name="Label2" hidden="1">
              <a:extLst>
                <a:ext uri="{63B3BB69-23CF-44E3-9099-C40C66FF867C}">
                  <a14:compatExt spid="_x0000_s18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14</xdr:row>
          <xdr:rowOff>76200</xdr:rowOff>
        </xdr:from>
        <xdr:to>
          <xdr:col>13</xdr:col>
          <xdr:colOff>552450</xdr:colOff>
          <xdr:row>15</xdr:row>
          <xdr:rowOff>114300</xdr:rowOff>
        </xdr:to>
        <xdr:sp macro="" textlink="">
          <xdr:nvSpPr>
            <xdr:cNvPr id="185349" name="XScaleMin" hidden="1">
              <a:extLst>
                <a:ext uri="{63B3BB69-23CF-44E3-9099-C40C66FF867C}">
                  <a14:compatExt spid="_x0000_s18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14</xdr:row>
          <xdr:rowOff>76200</xdr:rowOff>
        </xdr:from>
        <xdr:to>
          <xdr:col>15</xdr:col>
          <xdr:colOff>276225</xdr:colOff>
          <xdr:row>15</xdr:row>
          <xdr:rowOff>114300</xdr:rowOff>
        </xdr:to>
        <xdr:sp macro="" textlink="">
          <xdr:nvSpPr>
            <xdr:cNvPr id="185350" name="XScaleMax" hidden="1">
              <a:extLst>
                <a:ext uri="{63B3BB69-23CF-44E3-9099-C40C66FF867C}">
                  <a14:compatExt spid="_x0000_s18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16</xdr:row>
          <xdr:rowOff>0</xdr:rowOff>
        </xdr:from>
        <xdr:to>
          <xdr:col>14</xdr:col>
          <xdr:colOff>76200</xdr:colOff>
          <xdr:row>17</xdr:row>
          <xdr:rowOff>38100</xdr:rowOff>
        </xdr:to>
        <xdr:sp macro="" textlink="">
          <xdr:nvSpPr>
            <xdr:cNvPr id="185351" name="Label3" hidden="1">
              <a:extLst>
                <a:ext uri="{63B3BB69-23CF-44E3-9099-C40C66FF867C}">
                  <a14:compatExt spid="_x0000_s18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15</xdr:row>
          <xdr:rowOff>161925</xdr:rowOff>
        </xdr:from>
        <xdr:to>
          <xdr:col>15</xdr:col>
          <xdr:colOff>342900</xdr:colOff>
          <xdr:row>17</xdr:row>
          <xdr:rowOff>9525</xdr:rowOff>
        </xdr:to>
        <xdr:sp macro="" textlink="">
          <xdr:nvSpPr>
            <xdr:cNvPr id="185352" name="YScaleLogarithmic" hidden="1">
              <a:extLst>
                <a:ext uri="{63B3BB69-23CF-44E3-9099-C40C66FF867C}">
                  <a14:compatExt spid="_x0000_s18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17</xdr:row>
          <xdr:rowOff>38100</xdr:rowOff>
        </xdr:from>
        <xdr:to>
          <xdr:col>14</xdr:col>
          <xdr:colOff>238125</xdr:colOff>
          <xdr:row>18</xdr:row>
          <xdr:rowOff>76200</xdr:rowOff>
        </xdr:to>
        <xdr:sp macro="" textlink="">
          <xdr:nvSpPr>
            <xdr:cNvPr id="185353" name="Label4" hidden="1">
              <a:extLst>
                <a:ext uri="{63B3BB69-23CF-44E3-9099-C40C66FF867C}">
                  <a14:compatExt spid="_x0000_s18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17</xdr:row>
          <xdr:rowOff>9525</xdr:rowOff>
        </xdr:from>
        <xdr:to>
          <xdr:col>13</xdr:col>
          <xdr:colOff>552450</xdr:colOff>
          <xdr:row>18</xdr:row>
          <xdr:rowOff>47625</xdr:rowOff>
        </xdr:to>
        <xdr:sp macro="" textlink="">
          <xdr:nvSpPr>
            <xdr:cNvPr id="185354" name="YScaleMin" hidden="1">
              <a:extLst>
                <a:ext uri="{63B3BB69-23CF-44E3-9099-C40C66FF867C}">
                  <a14:compatExt spid="_x0000_s18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17</xdr:row>
          <xdr:rowOff>9525</xdr:rowOff>
        </xdr:from>
        <xdr:to>
          <xdr:col>15</xdr:col>
          <xdr:colOff>276225</xdr:colOff>
          <xdr:row>18</xdr:row>
          <xdr:rowOff>47625</xdr:rowOff>
        </xdr:to>
        <xdr:sp macro="" textlink="">
          <xdr:nvSpPr>
            <xdr:cNvPr id="185355" name="YScaleMax" hidden="1">
              <a:extLst>
                <a:ext uri="{63B3BB69-23CF-44E3-9099-C40C66FF867C}">
                  <a14:compatExt spid="_x0000_s18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552450</xdr:colOff>
          <xdr:row>18</xdr:row>
          <xdr:rowOff>123825</xdr:rowOff>
        </xdr:from>
        <xdr:to>
          <xdr:col>14</xdr:col>
          <xdr:colOff>381000</xdr:colOff>
          <xdr:row>20</xdr:row>
          <xdr:rowOff>19050</xdr:rowOff>
        </xdr:to>
        <xdr:sp macro="" textlink="">
          <xdr:nvSpPr>
            <xdr:cNvPr id="185356" name="ScaleYes" hidden="1">
              <a:extLst>
                <a:ext uri="{63B3BB69-23CF-44E3-9099-C40C66FF867C}">
                  <a14:compatExt spid="_x0000_s18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18</xdr:row>
          <xdr:rowOff>123825</xdr:rowOff>
        </xdr:from>
        <xdr:to>
          <xdr:col>15</xdr:col>
          <xdr:colOff>276225</xdr:colOff>
          <xdr:row>20</xdr:row>
          <xdr:rowOff>19050</xdr:rowOff>
        </xdr:to>
        <xdr:sp macro="" textlink="">
          <xdr:nvSpPr>
            <xdr:cNvPr id="185357" name="ScaleDefault" hidden="1">
              <a:extLst>
                <a:ext uri="{63B3BB69-23CF-44E3-9099-C40C66FF867C}">
                  <a14:compatExt spid="_x0000_s18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2</xdr:row>
          <xdr:rowOff>152400</xdr:rowOff>
        </xdr:from>
        <xdr:to>
          <xdr:col>3</xdr:col>
          <xdr:colOff>19050</xdr:colOff>
          <xdr:row>4</xdr:row>
          <xdr:rowOff>47625</xdr:rowOff>
        </xdr:to>
        <xdr:sp macro="" textlink="">
          <xdr:nvSpPr>
            <xdr:cNvPr id="186369" name="RngCopy" hidden="1">
              <a:extLst>
                <a:ext uri="{63B3BB69-23CF-44E3-9099-C40C66FF867C}">
                  <a14:compatExt spid="_x0000_s18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368300</xdr:colOff>
      <xdr:row>4</xdr:row>
      <xdr:rowOff>0</xdr:rowOff>
    </xdr:from>
    <xdr:to>
      <xdr:col>15</xdr:col>
      <xdr:colOff>444500</xdr:colOff>
      <xdr:row>20</xdr:row>
      <xdr:rowOff>127000</xdr:rowOff>
    </xdr:to>
    <xdr:graphicFrame macro="">
      <xdr:nvGraphicFramePr>
        <xdr:cNvPr id="2" name="BG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4</xdr:row>
          <xdr:rowOff>76200</xdr:rowOff>
        </xdr:from>
        <xdr:to>
          <xdr:col>15</xdr:col>
          <xdr:colOff>381000</xdr:colOff>
          <xdr:row>13</xdr:row>
          <xdr:rowOff>19050</xdr:rowOff>
        </xdr:to>
        <xdr:sp macro="" textlink="">
          <xdr:nvSpPr>
            <xdr:cNvPr id="186370" name="FmlListBox" hidden="1">
              <a:extLst>
                <a:ext uri="{63B3BB69-23CF-44E3-9099-C40C66FF867C}">
                  <a14:compatExt spid="_x0000_s186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419100</xdr:colOff>
      <xdr:row>4</xdr:row>
      <xdr:rowOff>0</xdr:rowOff>
    </xdr:from>
    <xdr:to>
      <xdr:col>11</xdr:col>
      <xdr:colOff>596900</xdr:colOff>
      <xdr:row>20</xdr:row>
      <xdr:rowOff>127000</xdr:rowOff>
    </xdr:to>
    <xdr:graphicFrame macro="">
      <xdr:nvGraphicFramePr>
        <xdr:cNvPr id="3" name="Result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13</xdr:row>
          <xdr:rowOff>57150</xdr:rowOff>
        </xdr:from>
        <xdr:to>
          <xdr:col>14</xdr:col>
          <xdr:colOff>419100</xdr:colOff>
          <xdr:row>14</xdr:row>
          <xdr:rowOff>95250</xdr:rowOff>
        </xdr:to>
        <xdr:sp macro="" textlink="">
          <xdr:nvSpPr>
            <xdr:cNvPr id="186371" name="Label1" hidden="1">
              <a:extLst>
                <a:ext uri="{63B3BB69-23CF-44E3-9099-C40C66FF867C}">
                  <a14:compatExt spid="_x0000_s186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14</xdr:row>
          <xdr:rowOff>95250</xdr:rowOff>
        </xdr:from>
        <xdr:to>
          <xdr:col>14</xdr:col>
          <xdr:colOff>238125</xdr:colOff>
          <xdr:row>15</xdr:row>
          <xdr:rowOff>133350</xdr:rowOff>
        </xdr:to>
        <xdr:sp macro="" textlink="">
          <xdr:nvSpPr>
            <xdr:cNvPr id="186372" name="Label2" hidden="1">
              <a:extLst>
                <a:ext uri="{63B3BB69-23CF-44E3-9099-C40C66FF867C}">
                  <a14:compatExt spid="_x0000_s186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14</xdr:row>
          <xdr:rowOff>76200</xdr:rowOff>
        </xdr:from>
        <xdr:to>
          <xdr:col>13</xdr:col>
          <xdr:colOff>552450</xdr:colOff>
          <xdr:row>15</xdr:row>
          <xdr:rowOff>114300</xdr:rowOff>
        </xdr:to>
        <xdr:sp macro="" textlink="">
          <xdr:nvSpPr>
            <xdr:cNvPr id="186373" name="XScaleMin" hidden="1">
              <a:extLst>
                <a:ext uri="{63B3BB69-23CF-44E3-9099-C40C66FF867C}">
                  <a14:compatExt spid="_x0000_s186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14</xdr:row>
          <xdr:rowOff>76200</xdr:rowOff>
        </xdr:from>
        <xdr:to>
          <xdr:col>15</xdr:col>
          <xdr:colOff>276225</xdr:colOff>
          <xdr:row>15</xdr:row>
          <xdr:rowOff>114300</xdr:rowOff>
        </xdr:to>
        <xdr:sp macro="" textlink="">
          <xdr:nvSpPr>
            <xdr:cNvPr id="186374" name="XScaleMax" hidden="1">
              <a:extLst>
                <a:ext uri="{63B3BB69-23CF-44E3-9099-C40C66FF867C}">
                  <a14:compatExt spid="_x0000_s186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16</xdr:row>
          <xdr:rowOff>0</xdr:rowOff>
        </xdr:from>
        <xdr:to>
          <xdr:col>14</xdr:col>
          <xdr:colOff>76200</xdr:colOff>
          <xdr:row>17</xdr:row>
          <xdr:rowOff>38100</xdr:rowOff>
        </xdr:to>
        <xdr:sp macro="" textlink="">
          <xdr:nvSpPr>
            <xdr:cNvPr id="186375" name="Label3" hidden="1">
              <a:extLst>
                <a:ext uri="{63B3BB69-23CF-44E3-9099-C40C66FF867C}">
                  <a14:compatExt spid="_x0000_s186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15</xdr:row>
          <xdr:rowOff>161925</xdr:rowOff>
        </xdr:from>
        <xdr:to>
          <xdr:col>15</xdr:col>
          <xdr:colOff>342900</xdr:colOff>
          <xdr:row>17</xdr:row>
          <xdr:rowOff>9525</xdr:rowOff>
        </xdr:to>
        <xdr:sp macro="" textlink="">
          <xdr:nvSpPr>
            <xdr:cNvPr id="186376" name="YScaleLogarithmic" hidden="1">
              <a:extLst>
                <a:ext uri="{63B3BB69-23CF-44E3-9099-C40C66FF867C}">
                  <a14:compatExt spid="_x0000_s186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17</xdr:row>
          <xdr:rowOff>38100</xdr:rowOff>
        </xdr:from>
        <xdr:to>
          <xdr:col>14</xdr:col>
          <xdr:colOff>238125</xdr:colOff>
          <xdr:row>18</xdr:row>
          <xdr:rowOff>76200</xdr:rowOff>
        </xdr:to>
        <xdr:sp macro="" textlink="">
          <xdr:nvSpPr>
            <xdr:cNvPr id="186377" name="Label4" hidden="1">
              <a:extLst>
                <a:ext uri="{63B3BB69-23CF-44E3-9099-C40C66FF867C}">
                  <a14:compatExt spid="_x0000_s186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17</xdr:row>
          <xdr:rowOff>9525</xdr:rowOff>
        </xdr:from>
        <xdr:to>
          <xdr:col>13</xdr:col>
          <xdr:colOff>552450</xdr:colOff>
          <xdr:row>18</xdr:row>
          <xdr:rowOff>47625</xdr:rowOff>
        </xdr:to>
        <xdr:sp macro="" textlink="">
          <xdr:nvSpPr>
            <xdr:cNvPr id="186378" name="YScaleMin" hidden="1">
              <a:extLst>
                <a:ext uri="{63B3BB69-23CF-44E3-9099-C40C66FF867C}">
                  <a14:compatExt spid="_x0000_s186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17</xdr:row>
          <xdr:rowOff>9525</xdr:rowOff>
        </xdr:from>
        <xdr:to>
          <xdr:col>15</xdr:col>
          <xdr:colOff>276225</xdr:colOff>
          <xdr:row>18</xdr:row>
          <xdr:rowOff>47625</xdr:rowOff>
        </xdr:to>
        <xdr:sp macro="" textlink="">
          <xdr:nvSpPr>
            <xdr:cNvPr id="186379" name="YScaleMax" hidden="1">
              <a:extLst>
                <a:ext uri="{63B3BB69-23CF-44E3-9099-C40C66FF867C}">
                  <a14:compatExt spid="_x0000_s186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552450</xdr:colOff>
          <xdr:row>18</xdr:row>
          <xdr:rowOff>123825</xdr:rowOff>
        </xdr:from>
        <xdr:to>
          <xdr:col>14</xdr:col>
          <xdr:colOff>381000</xdr:colOff>
          <xdr:row>20</xdr:row>
          <xdr:rowOff>19050</xdr:rowOff>
        </xdr:to>
        <xdr:sp macro="" textlink="">
          <xdr:nvSpPr>
            <xdr:cNvPr id="186380" name="ScaleYes" hidden="1">
              <a:extLst>
                <a:ext uri="{63B3BB69-23CF-44E3-9099-C40C66FF867C}">
                  <a14:compatExt spid="_x0000_s186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18</xdr:row>
          <xdr:rowOff>123825</xdr:rowOff>
        </xdr:from>
        <xdr:to>
          <xdr:col>15</xdr:col>
          <xdr:colOff>276225</xdr:colOff>
          <xdr:row>20</xdr:row>
          <xdr:rowOff>19050</xdr:rowOff>
        </xdr:to>
        <xdr:sp macro="" textlink="">
          <xdr:nvSpPr>
            <xdr:cNvPr id="186381" name="ScaleDefault" hidden="1">
              <a:extLst>
                <a:ext uri="{63B3BB69-23CF-44E3-9099-C40C66FF867C}">
                  <a14:compatExt spid="_x0000_s186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2</xdr:row>
          <xdr:rowOff>152400</xdr:rowOff>
        </xdr:from>
        <xdr:to>
          <xdr:col>3</xdr:col>
          <xdr:colOff>19050</xdr:colOff>
          <xdr:row>4</xdr:row>
          <xdr:rowOff>47625</xdr:rowOff>
        </xdr:to>
        <xdr:sp macro="" textlink="">
          <xdr:nvSpPr>
            <xdr:cNvPr id="187393" name="RngCopy" hidden="1">
              <a:extLst>
                <a:ext uri="{63B3BB69-23CF-44E3-9099-C40C66FF867C}">
                  <a14:compatExt spid="_x0000_s187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368300</xdr:colOff>
      <xdr:row>4</xdr:row>
      <xdr:rowOff>0</xdr:rowOff>
    </xdr:from>
    <xdr:to>
      <xdr:col>15</xdr:col>
      <xdr:colOff>444500</xdr:colOff>
      <xdr:row>20</xdr:row>
      <xdr:rowOff>127000</xdr:rowOff>
    </xdr:to>
    <xdr:graphicFrame macro="">
      <xdr:nvGraphicFramePr>
        <xdr:cNvPr id="2" name="BG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4</xdr:row>
          <xdr:rowOff>76200</xdr:rowOff>
        </xdr:from>
        <xdr:to>
          <xdr:col>15</xdr:col>
          <xdr:colOff>381000</xdr:colOff>
          <xdr:row>13</xdr:row>
          <xdr:rowOff>19050</xdr:rowOff>
        </xdr:to>
        <xdr:sp macro="" textlink="">
          <xdr:nvSpPr>
            <xdr:cNvPr id="187394" name="FmlListBox" hidden="1">
              <a:extLst>
                <a:ext uri="{63B3BB69-23CF-44E3-9099-C40C66FF867C}">
                  <a14:compatExt spid="_x0000_s187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419100</xdr:colOff>
      <xdr:row>4</xdr:row>
      <xdr:rowOff>0</xdr:rowOff>
    </xdr:from>
    <xdr:to>
      <xdr:col>11</xdr:col>
      <xdr:colOff>596900</xdr:colOff>
      <xdr:row>20</xdr:row>
      <xdr:rowOff>127000</xdr:rowOff>
    </xdr:to>
    <xdr:graphicFrame macro="">
      <xdr:nvGraphicFramePr>
        <xdr:cNvPr id="3" name="Result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13</xdr:row>
          <xdr:rowOff>57150</xdr:rowOff>
        </xdr:from>
        <xdr:to>
          <xdr:col>14</xdr:col>
          <xdr:colOff>419100</xdr:colOff>
          <xdr:row>14</xdr:row>
          <xdr:rowOff>95250</xdr:rowOff>
        </xdr:to>
        <xdr:sp macro="" textlink="">
          <xdr:nvSpPr>
            <xdr:cNvPr id="187395" name="Label1" hidden="1">
              <a:extLst>
                <a:ext uri="{63B3BB69-23CF-44E3-9099-C40C66FF867C}">
                  <a14:compatExt spid="_x0000_s187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14</xdr:row>
          <xdr:rowOff>95250</xdr:rowOff>
        </xdr:from>
        <xdr:to>
          <xdr:col>14</xdr:col>
          <xdr:colOff>238125</xdr:colOff>
          <xdr:row>15</xdr:row>
          <xdr:rowOff>133350</xdr:rowOff>
        </xdr:to>
        <xdr:sp macro="" textlink="">
          <xdr:nvSpPr>
            <xdr:cNvPr id="187396" name="Label2" hidden="1">
              <a:extLst>
                <a:ext uri="{63B3BB69-23CF-44E3-9099-C40C66FF867C}">
                  <a14:compatExt spid="_x0000_s187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14</xdr:row>
          <xdr:rowOff>76200</xdr:rowOff>
        </xdr:from>
        <xdr:to>
          <xdr:col>13</xdr:col>
          <xdr:colOff>552450</xdr:colOff>
          <xdr:row>15</xdr:row>
          <xdr:rowOff>114300</xdr:rowOff>
        </xdr:to>
        <xdr:sp macro="" textlink="">
          <xdr:nvSpPr>
            <xdr:cNvPr id="187397" name="XScaleMin" hidden="1">
              <a:extLst>
                <a:ext uri="{63B3BB69-23CF-44E3-9099-C40C66FF867C}">
                  <a14:compatExt spid="_x0000_s187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14</xdr:row>
          <xdr:rowOff>76200</xdr:rowOff>
        </xdr:from>
        <xdr:to>
          <xdr:col>15</xdr:col>
          <xdr:colOff>276225</xdr:colOff>
          <xdr:row>15</xdr:row>
          <xdr:rowOff>114300</xdr:rowOff>
        </xdr:to>
        <xdr:sp macro="" textlink="">
          <xdr:nvSpPr>
            <xdr:cNvPr id="187398" name="XScaleMax" hidden="1">
              <a:extLst>
                <a:ext uri="{63B3BB69-23CF-44E3-9099-C40C66FF867C}">
                  <a14:compatExt spid="_x0000_s187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16</xdr:row>
          <xdr:rowOff>0</xdr:rowOff>
        </xdr:from>
        <xdr:to>
          <xdr:col>14</xdr:col>
          <xdr:colOff>76200</xdr:colOff>
          <xdr:row>17</xdr:row>
          <xdr:rowOff>38100</xdr:rowOff>
        </xdr:to>
        <xdr:sp macro="" textlink="">
          <xdr:nvSpPr>
            <xdr:cNvPr id="187399" name="Label3" hidden="1">
              <a:extLst>
                <a:ext uri="{63B3BB69-23CF-44E3-9099-C40C66FF867C}">
                  <a14:compatExt spid="_x0000_s187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15</xdr:row>
          <xdr:rowOff>161925</xdr:rowOff>
        </xdr:from>
        <xdr:to>
          <xdr:col>15</xdr:col>
          <xdr:colOff>342900</xdr:colOff>
          <xdr:row>17</xdr:row>
          <xdr:rowOff>9525</xdr:rowOff>
        </xdr:to>
        <xdr:sp macro="" textlink="">
          <xdr:nvSpPr>
            <xdr:cNvPr id="187400" name="YScaleLogarithmic" hidden="1">
              <a:extLst>
                <a:ext uri="{63B3BB69-23CF-44E3-9099-C40C66FF867C}">
                  <a14:compatExt spid="_x0000_s187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17</xdr:row>
          <xdr:rowOff>38100</xdr:rowOff>
        </xdr:from>
        <xdr:to>
          <xdr:col>14</xdr:col>
          <xdr:colOff>238125</xdr:colOff>
          <xdr:row>18</xdr:row>
          <xdr:rowOff>76200</xdr:rowOff>
        </xdr:to>
        <xdr:sp macro="" textlink="">
          <xdr:nvSpPr>
            <xdr:cNvPr id="187401" name="Label4" hidden="1">
              <a:extLst>
                <a:ext uri="{63B3BB69-23CF-44E3-9099-C40C66FF867C}">
                  <a14:compatExt spid="_x0000_s187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17</xdr:row>
          <xdr:rowOff>9525</xdr:rowOff>
        </xdr:from>
        <xdr:to>
          <xdr:col>13</xdr:col>
          <xdr:colOff>552450</xdr:colOff>
          <xdr:row>18</xdr:row>
          <xdr:rowOff>47625</xdr:rowOff>
        </xdr:to>
        <xdr:sp macro="" textlink="">
          <xdr:nvSpPr>
            <xdr:cNvPr id="187402" name="YScaleMin" hidden="1">
              <a:extLst>
                <a:ext uri="{63B3BB69-23CF-44E3-9099-C40C66FF867C}">
                  <a14:compatExt spid="_x0000_s187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17</xdr:row>
          <xdr:rowOff>9525</xdr:rowOff>
        </xdr:from>
        <xdr:to>
          <xdr:col>15</xdr:col>
          <xdr:colOff>276225</xdr:colOff>
          <xdr:row>18</xdr:row>
          <xdr:rowOff>47625</xdr:rowOff>
        </xdr:to>
        <xdr:sp macro="" textlink="">
          <xdr:nvSpPr>
            <xdr:cNvPr id="187403" name="YScaleMax" hidden="1">
              <a:extLst>
                <a:ext uri="{63B3BB69-23CF-44E3-9099-C40C66FF867C}">
                  <a14:compatExt spid="_x0000_s187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552450</xdr:colOff>
          <xdr:row>18</xdr:row>
          <xdr:rowOff>123825</xdr:rowOff>
        </xdr:from>
        <xdr:to>
          <xdr:col>14</xdr:col>
          <xdr:colOff>381000</xdr:colOff>
          <xdr:row>20</xdr:row>
          <xdr:rowOff>19050</xdr:rowOff>
        </xdr:to>
        <xdr:sp macro="" textlink="">
          <xdr:nvSpPr>
            <xdr:cNvPr id="187404" name="ScaleYes" hidden="1">
              <a:extLst>
                <a:ext uri="{63B3BB69-23CF-44E3-9099-C40C66FF867C}">
                  <a14:compatExt spid="_x0000_s187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18</xdr:row>
          <xdr:rowOff>123825</xdr:rowOff>
        </xdr:from>
        <xdr:to>
          <xdr:col>15</xdr:col>
          <xdr:colOff>276225</xdr:colOff>
          <xdr:row>20</xdr:row>
          <xdr:rowOff>19050</xdr:rowOff>
        </xdr:to>
        <xdr:sp macro="" textlink="">
          <xdr:nvSpPr>
            <xdr:cNvPr id="187405" name="ScaleDefault" hidden="1">
              <a:extLst>
                <a:ext uri="{63B3BB69-23CF-44E3-9099-C40C66FF867C}">
                  <a14:compatExt spid="_x0000_s187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2</xdr:row>
          <xdr:rowOff>152400</xdr:rowOff>
        </xdr:from>
        <xdr:to>
          <xdr:col>3</xdr:col>
          <xdr:colOff>19050</xdr:colOff>
          <xdr:row>4</xdr:row>
          <xdr:rowOff>47625</xdr:rowOff>
        </xdr:to>
        <xdr:sp macro="" textlink="">
          <xdr:nvSpPr>
            <xdr:cNvPr id="189441" name="RngCopy" hidden="1">
              <a:extLst>
                <a:ext uri="{63B3BB69-23CF-44E3-9099-C40C66FF867C}">
                  <a14:compatExt spid="_x0000_s189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368300</xdr:colOff>
      <xdr:row>4</xdr:row>
      <xdr:rowOff>0</xdr:rowOff>
    </xdr:from>
    <xdr:to>
      <xdr:col>15</xdr:col>
      <xdr:colOff>444500</xdr:colOff>
      <xdr:row>20</xdr:row>
      <xdr:rowOff>127000</xdr:rowOff>
    </xdr:to>
    <xdr:graphicFrame macro="">
      <xdr:nvGraphicFramePr>
        <xdr:cNvPr id="2" name="BG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4</xdr:row>
          <xdr:rowOff>76200</xdr:rowOff>
        </xdr:from>
        <xdr:to>
          <xdr:col>15</xdr:col>
          <xdr:colOff>381000</xdr:colOff>
          <xdr:row>13</xdr:row>
          <xdr:rowOff>19050</xdr:rowOff>
        </xdr:to>
        <xdr:sp macro="" textlink="">
          <xdr:nvSpPr>
            <xdr:cNvPr id="189442" name="FmlListBox" hidden="1">
              <a:extLst>
                <a:ext uri="{63B3BB69-23CF-44E3-9099-C40C66FF867C}">
                  <a14:compatExt spid="_x0000_s189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419100</xdr:colOff>
      <xdr:row>4</xdr:row>
      <xdr:rowOff>0</xdr:rowOff>
    </xdr:from>
    <xdr:to>
      <xdr:col>11</xdr:col>
      <xdr:colOff>596900</xdr:colOff>
      <xdr:row>20</xdr:row>
      <xdr:rowOff>127000</xdr:rowOff>
    </xdr:to>
    <xdr:graphicFrame macro="">
      <xdr:nvGraphicFramePr>
        <xdr:cNvPr id="3" name="Result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13</xdr:row>
          <xdr:rowOff>57150</xdr:rowOff>
        </xdr:from>
        <xdr:to>
          <xdr:col>14</xdr:col>
          <xdr:colOff>419100</xdr:colOff>
          <xdr:row>14</xdr:row>
          <xdr:rowOff>95250</xdr:rowOff>
        </xdr:to>
        <xdr:sp macro="" textlink="">
          <xdr:nvSpPr>
            <xdr:cNvPr id="189443" name="Label1" hidden="1">
              <a:extLst>
                <a:ext uri="{63B3BB69-23CF-44E3-9099-C40C66FF867C}">
                  <a14:compatExt spid="_x0000_s189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14</xdr:row>
          <xdr:rowOff>95250</xdr:rowOff>
        </xdr:from>
        <xdr:to>
          <xdr:col>14</xdr:col>
          <xdr:colOff>238125</xdr:colOff>
          <xdr:row>15</xdr:row>
          <xdr:rowOff>133350</xdr:rowOff>
        </xdr:to>
        <xdr:sp macro="" textlink="">
          <xdr:nvSpPr>
            <xdr:cNvPr id="189444" name="Label2" hidden="1">
              <a:extLst>
                <a:ext uri="{63B3BB69-23CF-44E3-9099-C40C66FF867C}">
                  <a14:compatExt spid="_x0000_s189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14</xdr:row>
          <xdr:rowOff>76200</xdr:rowOff>
        </xdr:from>
        <xdr:to>
          <xdr:col>13</xdr:col>
          <xdr:colOff>552450</xdr:colOff>
          <xdr:row>15</xdr:row>
          <xdr:rowOff>114300</xdr:rowOff>
        </xdr:to>
        <xdr:sp macro="" textlink="">
          <xdr:nvSpPr>
            <xdr:cNvPr id="189445" name="XScaleMin" hidden="1">
              <a:extLst>
                <a:ext uri="{63B3BB69-23CF-44E3-9099-C40C66FF867C}">
                  <a14:compatExt spid="_x0000_s189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14</xdr:row>
          <xdr:rowOff>76200</xdr:rowOff>
        </xdr:from>
        <xdr:to>
          <xdr:col>15</xdr:col>
          <xdr:colOff>276225</xdr:colOff>
          <xdr:row>15</xdr:row>
          <xdr:rowOff>114300</xdr:rowOff>
        </xdr:to>
        <xdr:sp macro="" textlink="">
          <xdr:nvSpPr>
            <xdr:cNvPr id="189446" name="XScaleMax" hidden="1">
              <a:extLst>
                <a:ext uri="{63B3BB69-23CF-44E3-9099-C40C66FF867C}">
                  <a14:compatExt spid="_x0000_s189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16</xdr:row>
          <xdr:rowOff>0</xdr:rowOff>
        </xdr:from>
        <xdr:to>
          <xdr:col>14</xdr:col>
          <xdr:colOff>76200</xdr:colOff>
          <xdr:row>17</xdr:row>
          <xdr:rowOff>38100</xdr:rowOff>
        </xdr:to>
        <xdr:sp macro="" textlink="">
          <xdr:nvSpPr>
            <xdr:cNvPr id="189447" name="Label3" hidden="1">
              <a:extLst>
                <a:ext uri="{63B3BB69-23CF-44E3-9099-C40C66FF867C}">
                  <a14:compatExt spid="_x0000_s189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15</xdr:row>
          <xdr:rowOff>161925</xdr:rowOff>
        </xdr:from>
        <xdr:to>
          <xdr:col>15</xdr:col>
          <xdr:colOff>342900</xdr:colOff>
          <xdr:row>17</xdr:row>
          <xdr:rowOff>9525</xdr:rowOff>
        </xdr:to>
        <xdr:sp macro="" textlink="">
          <xdr:nvSpPr>
            <xdr:cNvPr id="189448" name="YScaleLogarithmic" hidden="1">
              <a:extLst>
                <a:ext uri="{63B3BB69-23CF-44E3-9099-C40C66FF867C}">
                  <a14:compatExt spid="_x0000_s189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17</xdr:row>
          <xdr:rowOff>38100</xdr:rowOff>
        </xdr:from>
        <xdr:to>
          <xdr:col>14</xdr:col>
          <xdr:colOff>238125</xdr:colOff>
          <xdr:row>18</xdr:row>
          <xdr:rowOff>76200</xdr:rowOff>
        </xdr:to>
        <xdr:sp macro="" textlink="">
          <xdr:nvSpPr>
            <xdr:cNvPr id="189449" name="Label4" hidden="1">
              <a:extLst>
                <a:ext uri="{63B3BB69-23CF-44E3-9099-C40C66FF867C}">
                  <a14:compatExt spid="_x0000_s189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17</xdr:row>
          <xdr:rowOff>9525</xdr:rowOff>
        </xdr:from>
        <xdr:to>
          <xdr:col>13</xdr:col>
          <xdr:colOff>552450</xdr:colOff>
          <xdr:row>18</xdr:row>
          <xdr:rowOff>47625</xdr:rowOff>
        </xdr:to>
        <xdr:sp macro="" textlink="">
          <xdr:nvSpPr>
            <xdr:cNvPr id="189450" name="YScaleMin" hidden="1">
              <a:extLst>
                <a:ext uri="{63B3BB69-23CF-44E3-9099-C40C66FF867C}">
                  <a14:compatExt spid="_x0000_s189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17</xdr:row>
          <xdr:rowOff>9525</xdr:rowOff>
        </xdr:from>
        <xdr:to>
          <xdr:col>15</xdr:col>
          <xdr:colOff>276225</xdr:colOff>
          <xdr:row>18</xdr:row>
          <xdr:rowOff>47625</xdr:rowOff>
        </xdr:to>
        <xdr:sp macro="" textlink="">
          <xdr:nvSpPr>
            <xdr:cNvPr id="189451" name="YScaleMax" hidden="1">
              <a:extLst>
                <a:ext uri="{63B3BB69-23CF-44E3-9099-C40C66FF867C}">
                  <a14:compatExt spid="_x0000_s189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552450</xdr:colOff>
          <xdr:row>18</xdr:row>
          <xdr:rowOff>123825</xdr:rowOff>
        </xdr:from>
        <xdr:to>
          <xdr:col>14</xdr:col>
          <xdr:colOff>381000</xdr:colOff>
          <xdr:row>20</xdr:row>
          <xdr:rowOff>19050</xdr:rowOff>
        </xdr:to>
        <xdr:sp macro="" textlink="">
          <xdr:nvSpPr>
            <xdr:cNvPr id="189452" name="ScaleYes" hidden="1">
              <a:extLst>
                <a:ext uri="{63B3BB69-23CF-44E3-9099-C40C66FF867C}">
                  <a14:compatExt spid="_x0000_s189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18</xdr:row>
          <xdr:rowOff>123825</xdr:rowOff>
        </xdr:from>
        <xdr:to>
          <xdr:col>15</xdr:col>
          <xdr:colOff>276225</xdr:colOff>
          <xdr:row>20</xdr:row>
          <xdr:rowOff>19050</xdr:rowOff>
        </xdr:to>
        <xdr:sp macro="" textlink="">
          <xdr:nvSpPr>
            <xdr:cNvPr id="189453" name="ScaleDefault" hidden="1">
              <a:extLst>
                <a:ext uri="{63B3BB69-23CF-44E3-9099-C40C66FF867C}">
                  <a14:compatExt spid="_x0000_s189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2</xdr:row>
          <xdr:rowOff>152400</xdr:rowOff>
        </xdr:from>
        <xdr:to>
          <xdr:col>3</xdr:col>
          <xdr:colOff>19050</xdr:colOff>
          <xdr:row>4</xdr:row>
          <xdr:rowOff>47625</xdr:rowOff>
        </xdr:to>
        <xdr:sp macro="" textlink="">
          <xdr:nvSpPr>
            <xdr:cNvPr id="190465" name="RngCopy" hidden="1">
              <a:extLst>
                <a:ext uri="{63B3BB69-23CF-44E3-9099-C40C66FF867C}">
                  <a14:compatExt spid="_x0000_s190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368300</xdr:colOff>
      <xdr:row>4</xdr:row>
      <xdr:rowOff>0</xdr:rowOff>
    </xdr:from>
    <xdr:to>
      <xdr:col>15</xdr:col>
      <xdr:colOff>444500</xdr:colOff>
      <xdr:row>20</xdr:row>
      <xdr:rowOff>127000</xdr:rowOff>
    </xdr:to>
    <xdr:graphicFrame macro="">
      <xdr:nvGraphicFramePr>
        <xdr:cNvPr id="2" name="BG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4</xdr:row>
          <xdr:rowOff>76200</xdr:rowOff>
        </xdr:from>
        <xdr:to>
          <xdr:col>15</xdr:col>
          <xdr:colOff>381000</xdr:colOff>
          <xdr:row>13</xdr:row>
          <xdr:rowOff>19050</xdr:rowOff>
        </xdr:to>
        <xdr:sp macro="" textlink="">
          <xdr:nvSpPr>
            <xdr:cNvPr id="190466" name="FmlListBox" hidden="1">
              <a:extLst>
                <a:ext uri="{63B3BB69-23CF-44E3-9099-C40C66FF867C}">
                  <a14:compatExt spid="_x0000_s190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419100</xdr:colOff>
      <xdr:row>4</xdr:row>
      <xdr:rowOff>0</xdr:rowOff>
    </xdr:from>
    <xdr:to>
      <xdr:col>11</xdr:col>
      <xdr:colOff>596900</xdr:colOff>
      <xdr:row>20</xdr:row>
      <xdr:rowOff>127000</xdr:rowOff>
    </xdr:to>
    <xdr:graphicFrame macro="">
      <xdr:nvGraphicFramePr>
        <xdr:cNvPr id="3" name="Result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13</xdr:row>
          <xdr:rowOff>57150</xdr:rowOff>
        </xdr:from>
        <xdr:to>
          <xdr:col>14</xdr:col>
          <xdr:colOff>419100</xdr:colOff>
          <xdr:row>14</xdr:row>
          <xdr:rowOff>95250</xdr:rowOff>
        </xdr:to>
        <xdr:sp macro="" textlink="">
          <xdr:nvSpPr>
            <xdr:cNvPr id="190467" name="Label1" hidden="1">
              <a:extLst>
                <a:ext uri="{63B3BB69-23CF-44E3-9099-C40C66FF867C}">
                  <a14:compatExt spid="_x0000_s190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14</xdr:row>
          <xdr:rowOff>95250</xdr:rowOff>
        </xdr:from>
        <xdr:to>
          <xdr:col>14</xdr:col>
          <xdr:colOff>238125</xdr:colOff>
          <xdr:row>15</xdr:row>
          <xdr:rowOff>133350</xdr:rowOff>
        </xdr:to>
        <xdr:sp macro="" textlink="">
          <xdr:nvSpPr>
            <xdr:cNvPr id="190468" name="Label2" hidden="1">
              <a:extLst>
                <a:ext uri="{63B3BB69-23CF-44E3-9099-C40C66FF867C}">
                  <a14:compatExt spid="_x0000_s190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14</xdr:row>
          <xdr:rowOff>76200</xdr:rowOff>
        </xdr:from>
        <xdr:to>
          <xdr:col>13</xdr:col>
          <xdr:colOff>552450</xdr:colOff>
          <xdr:row>15</xdr:row>
          <xdr:rowOff>114300</xdr:rowOff>
        </xdr:to>
        <xdr:sp macro="" textlink="">
          <xdr:nvSpPr>
            <xdr:cNvPr id="190469" name="XScaleMin" hidden="1">
              <a:extLst>
                <a:ext uri="{63B3BB69-23CF-44E3-9099-C40C66FF867C}">
                  <a14:compatExt spid="_x0000_s190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14</xdr:row>
          <xdr:rowOff>76200</xdr:rowOff>
        </xdr:from>
        <xdr:to>
          <xdr:col>15</xdr:col>
          <xdr:colOff>276225</xdr:colOff>
          <xdr:row>15</xdr:row>
          <xdr:rowOff>114300</xdr:rowOff>
        </xdr:to>
        <xdr:sp macro="" textlink="">
          <xdr:nvSpPr>
            <xdr:cNvPr id="190470" name="XScaleMax" hidden="1">
              <a:extLst>
                <a:ext uri="{63B3BB69-23CF-44E3-9099-C40C66FF867C}">
                  <a14:compatExt spid="_x0000_s190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16</xdr:row>
          <xdr:rowOff>0</xdr:rowOff>
        </xdr:from>
        <xdr:to>
          <xdr:col>14</xdr:col>
          <xdr:colOff>76200</xdr:colOff>
          <xdr:row>17</xdr:row>
          <xdr:rowOff>38100</xdr:rowOff>
        </xdr:to>
        <xdr:sp macro="" textlink="">
          <xdr:nvSpPr>
            <xdr:cNvPr id="190471" name="Label3" hidden="1">
              <a:extLst>
                <a:ext uri="{63B3BB69-23CF-44E3-9099-C40C66FF867C}">
                  <a14:compatExt spid="_x0000_s190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15</xdr:row>
          <xdr:rowOff>161925</xdr:rowOff>
        </xdr:from>
        <xdr:to>
          <xdr:col>15</xdr:col>
          <xdr:colOff>342900</xdr:colOff>
          <xdr:row>17</xdr:row>
          <xdr:rowOff>9525</xdr:rowOff>
        </xdr:to>
        <xdr:sp macro="" textlink="">
          <xdr:nvSpPr>
            <xdr:cNvPr id="190472" name="YScaleLogarithmic" hidden="1">
              <a:extLst>
                <a:ext uri="{63B3BB69-23CF-44E3-9099-C40C66FF867C}">
                  <a14:compatExt spid="_x0000_s190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17</xdr:row>
          <xdr:rowOff>38100</xdr:rowOff>
        </xdr:from>
        <xdr:to>
          <xdr:col>14</xdr:col>
          <xdr:colOff>238125</xdr:colOff>
          <xdr:row>18</xdr:row>
          <xdr:rowOff>76200</xdr:rowOff>
        </xdr:to>
        <xdr:sp macro="" textlink="">
          <xdr:nvSpPr>
            <xdr:cNvPr id="190473" name="Label4" hidden="1">
              <a:extLst>
                <a:ext uri="{63B3BB69-23CF-44E3-9099-C40C66FF867C}">
                  <a14:compatExt spid="_x0000_s190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17</xdr:row>
          <xdr:rowOff>9525</xdr:rowOff>
        </xdr:from>
        <xdr:to>
          <xdr:col>13</xdr:col>
          <xdr:colOff>552450</xdr:colOff>
          <xdr:row>18</xdr:row>
          <xdr:rowOff>47625</xdr:rowOff>
        </xdr:to>
        <xdr:sp macro="" textlink="">
          <xdr:nvSpPr>
            <xdr:cNvPr id="190474" name="YScaleMin" hidden="1">
              <a:extLst>
                <a:ext uri="{63B3BB69-23CF-44E3-9099-C40C66FF867C}">
                  <a14:compatExt spid="_x0000_s190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17</xdr:row>
          <xdr:rowOff>9525</xdr:rowOff>
        </xdr:from>
        <xdr:to>
          <xdr:col>15</xdr:col>
          <xdr:colOff>276225</xdr:colOff>
          <xdr:row>18</xdr:row>
          <xdr:rowOff>47625</xdr:rowOff>
        </xdr:to>
        <xdr:sp macro="" textlink="">
          <xdr:nvSpPr>
            <xdr:cNvPr id="190475" name="YScaleMax" hidden="1">
              <a:extLst>
                <a:ext uri="{63B3BB69-23CF-44E3-9099-C40C66FF867C}">
                  <a14:compatExt spid="_x0000_s190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552450</xdr:colOff>
          <xdr:row>18</xdr:row>
          <xdr:rowOff>123825</xdr:rowOff>
        </xdr:from>
        <xdr:to>
          <xdr:col>14</xdr:col>
          <xdr:colOff>381000</xdr:colOff>
          <xdr:row>20</xdr:row>
          <xdr:rowOff>19050</xdr:rowOff>
        </xdr:to>
        <xdr:sp macro="" textlink="">
          <xdr:nvSpPr>
            <xdr:cNvPr id="190476" name="ScaleYes" hidden="1">
              <a:extLst>
                <a:ext uri="{63B3BB69-23CF-44E3-9099-C40C66FF867C}">
                  <a14:compatExt spid="_x0000_s190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18</xdr:row>
          <xdr:rowOff>123825</xdr:rowOff>
        </xdr:from>
        <xdr:to>
          <xdr:col>15</xdr:col>
          <xdr:colOff>276225</xdr:colOff>
          <xdr:row>20</xdr:row>
          <xdr:rowOff>19050</xdr:rowOff>
        </xdr:to>
        <xdr:sp macro="" textlink="">
          <xdr:nvSpPr>
            <xdr:cNvPr id="190477" name="ScaleDefault" hidden="1">
              <a:extLst>
                <a:ext uri="{63B3BB69-23CF-44E3-9099-C40C66FF867C}">
                  <a14:compatExt spid="_x0000_s190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2</xdr:row>
          <xdr:rowOff>152400</xdr:rowOff>
        </xdr:from>
        <xdr:to>
          <xdr:col>3</xdr:col>
          <xdr:colOff>19050</xdr:colOff>
          <xdr:row>4</xdr:row>
          <xdr:rowOff>47625</xdr:rowOff>
        </xdr:to>
        <xdr:sp macro="" textlink="">
          <xdr:nvSpPr>
            <xdr:cNvPr id="191489" name="RngCopy" hidden="1">
              <a:extLst>
                <a:ext uri="{63B3BB69-23CF-44E3-9099-C40C66FF867C}">
                  <a14:compatExt spid="_x0000_s19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368300</xdr:colOff>
      <xdr:row>4</xdr:row>
      <xdr:rowOff>0</xdr:rowOff>
    </xdr:from>
    <xdr:to>
      <xdr:col>15</xdr:col>
      <xdr:colOff>444500</xdr:colOff>
      <xdr:row>20</xdr:row>
      <xdr:rowOff>127000</xdr:rowOff>
    </xdr:to>
    <xdr:graphicFrame macro="">
      <xdr:nvGraphicFramePr>
        <xdr:cNvPr id="2" name="BG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4</xdr:row>
          <xdr:rowOff>76200</xdr:rowOff>
        </xdr:from>
        <xdr:to>
          <xdr:col>15</xdr:col>
          <xdr:colOff>381000</xdr:colOff>
          <xdr:row>13</xdr:row>
          <xdr:rowOff>19050</xdr:rowOff>
        </xdr:to>
        <xdr:sp macro="" textlink="">
          <xdr:nvSpPr>
            <xdr:cNvPr id="191490" name="FmlListBox" hidden="1">
              <a:extLst>
                <a:ext uri="{63B3BB69-23CF-44E3-9099-C40C66FF867C}">
                  <a14:compatExt spid="_x0000_s19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419100</xdr:colOff>
      <xdr:row>4</xdr:row>
      <xdr:rowOff>0</xdr:rowOff>
    </xdr:from>
    <xdr:to>
      <xdr:col>11</xdr:col>
      <xdr:colOff>596900</xdr:colOff>
      <xdr:row>20</xdr:row>
      <xdr:rowOff>127000</xdr:rowOff>
    </xdr:to>
    <xdr:graphicFrame macro="">
      <xdr:nvGraphicFramePr>
        <xdr:cNvPr id="3" name="Result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13</xdr:row>
          <xdr:rowOff>57150</xdr:rowOff>
        </xdr:from>
        <xdr:to>
          <xdr:col>14</xdr:col>
          <xdr:colOff>419100</xdr:colOff>
          <xdr:row>14</xdr:row>
          <xdr:rowOff>95250</xdr:rowOff>
        </xdr:to>
        <xdr:sp macro="" textlink="">
          <xdr:nvSpPr>
            <xdr:cNvPr id="191491" name="Label1" hidden="1">
              <a:extLst>
                <a:ext uri="{63B3BB69-23CF-44E3-9099-C40C66FF867C}">
                  <a14:compatExt spid="_x0000_s19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14</xdr:row>
          <xdr:rowOff>95250</xdr:rowOff>
        </xdr:from>
        <xdr:to>
          <xdr:col>14</xdr:col>
          <xdr:colOff>238125</xdr:colOff>
          <xdr:row>15</xdr:row>
          <xdr:rowOff>133350</xdr:rowOff>
        </xdr:to>
        <xdr:sp macro="" textlink="">
          <xdr:nvSpPr>
            <xdr:cNvPr id="191492" name="Label2" hidden="1">
              <a:extLst>
                <a:ext uri="{63B3BB69-23CF-44E3-9099-C40C66FF867C}">
                  <a14:compatExt spid="_x0000_s191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14</xdr:row>
          <xdr:rowOff>76200</xdr:rowOff>
        </xdr:from>
        <xdr:to>
          <xdr:col>13</xdr:col>
          <xdr:colOff>552450</xdr:colOff>
          <xdr:row>15</xdr:row>
          <xdr:rowOff>114300</xdr:rowOff>
        </xdr:to>
        <xdr:sp macro="" textlink="">
          <xdr:nvSpPr>
            <xdr:cNvPr id="191493" name="XScaleMin" hidden="1">
              <a:extLst>
                <a:ext uri="{63B3BB69-23CF-44E3-9099-C40C66FF867C}">
                  <a14:compatExt spid="_x0000_s191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14</xdr:row>
          <xdr:rowOff>76200</xdr:rowOff>
        </xdr:from>
        <xdr:to>
          <xdr:col>15</xdr:col>
          <xdr:colOff>276225</xdr:colOff>
          <xdr:row>15</xdr:row>
          <xdr:rowOff>114300</xdr:rowOff>
        </xdr:to>
        <xdr:sp macro="" textlink="">
          <xdr:nvSpPr>
            <xdr:cNvPr id="191494" name="XScaleMax" hidden="1">
              <a:extLst>
                <a:ext uri="{63B3BB69-23CF-44E3-9099-C40C66FF867C}">
                  <a14:compatExt spid="_x0000_s19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16</xdr:row>
          <xdr:rowOff>0</xdr:rowOff>
        </xdr:from>
        <xdr:to>
          <xdr:col>14</xdr:col>
          <xdr:colOff>76200</xdr:colOff>
          <xdr:row>17</xdr:row>
          <xdr:rowOff>38100</xdr:rowOff>
        </xdr:to>
        <xdr:sp macro="" textlink="">
          <xdr:nvSpPr>
            <xdr:cNvPr id="191495" name="Label3" hidden="1">
              <a:extLst>
                <a:ext uri="{63B3BB69-23CF-44E3-9099-C40C66FF867C}">
                  <a14:compatExt spid="_x0000_s19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15</xdr:row>
          <xdr:rowOff>161925</xdr:rowOff>
        </xdr:from>
        <xdr:to>
          <xdr:col>15</xdr:col>
          <xdr:colOff>342900</xdr:colOff>
          <xdr:row>17</xdr:row>
          <xdr:rowOff>9525</xdr:rowOff>
        </xdr:to>
        <xdr:sp macro="" textlink="">
          <xdr:nvSpPr>
            <xdr:cNvPr id="191496" name="YScaleLogarithmic" hidden="1">
              <a:extLst>
                <a:ext uri="{63B3BB69-23CF-44E3-9099-C40C66FF867C}">
                  <a14:compatExt spid="_x0000_s191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17</xdr:row>
          <xdr:rowOff>38100</xdr:rowOff>
        </xdr:from>
        <xdr:to>
          <xdr:col>14</xdr:col>
          <xdr:colOff>238125</xdr:colOff>
          <xdr:row>18</xdr:row>
          <xdr:rowOff>76200</xdr:rowOff>
        </xdr:to>
        <xdr:sp macro="" textlink="">
          <xdr:nvSpPr>
            <xdr:cNvPr id="191497" name="Label4" hidden="1">
              <a:extLst>
                <a:ext uri="{63B3BB69-23CF-44E3-9099-C40C66FF867C}">
                  <a14:compatExt spid="_x0000_s19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17</xdr:row>
          <xdr:rowOff>9525</xdr:rowOff>
        </xdr:from>
        <xdr:to>
          <xdr:col>13</xdr:col>
          <xdr:colOff>552450</xdr:colOff>
          <xdr:row>18</xdr:row>
          <xdr:rowOff>47625</xdr:rowOff>
        </xdr:to>
        <xdr:sp macro="" textlink="">
          <xdr:nvSpPr>
            <xdr:cNvPr id="191498" name="YScaleMin" hidden="1">
              <a:extLst>
                <a:ext uri="{63B3BB69-23CF-44E3-9099-C40C66FF867C}">
                  <a14:compatExt spid="_x0000_s19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17</xdr:row>
          <xdr:rowOff>9525</xdr:rowOff>
        </xdr:from>
        <xdr:to>
          <xdr:col>15</xdr:col>
          <xdr:colOff>276225</xdr:colOff>
          <xdr:row>18</xdr:row>
          <xdr:rowOff>47625</xdr:rowOff>
        </xdr:to>
        <xdr:sp macro="" textlink="">
          <xdr:nvSpPr>
            <xdr:cNvPr id="191499" name="YScaleMax" hidden="1">
              <a:extLst>
                <a:ext uri="{63B3BB69-23CF-44E3-9099-C40C66FF867C}">
                  <a14:compatExt spid="_x0000_s19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552450</xdr:colOff>
          <xdr:row>18</xdr:row>
          <xdr:rowOff>123825</xdr:rowOff>
        </xdr:from>
        <xdr:to>
          <xdr:col>14</xdr:col>
          <xdr:colOff>381000</xdr:colOff>
          <xdr:row>20</xdr:row>
          <xdr:rowOff>19050</xdr:rowOff>
        </xdr:to>
        <xdr:sp macro="" textlink="">
          <xdr:nvSpPr>
            <xdr:cNvPr id="191500" name="ScaleYes" hidden="1">
              <a:extLst>
                <a:ext uri="{63B3BB69-23CF-44E3-9099-C40C66FF867C}">
                  <a14:compatExt spid="_x0000_s19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18</xdr:row>
          <xdr:rowOff>123825</xdr:rowOff>
        </xdr:from>
        <xdr:to>
          <xdr:col>15</xdr:col>
          <xdr:colOff>276225</xdr:colOff>
          <xdr:row>20</xdr:row>
          <xdr:rowOff>19050</xdr:rowOff>
        </xdr:to>
        <xdr:sp macro="" textlink="">
          <xdr:nvSpPr>
            <xdr:cNvPr id="191501" name="ScaleDefault" hidden="1">
              <a:extLst>
                <a:ext uri="{63B3BB69-23CF-44E3-9099-C40C66FF867C}">
                  <a14:compatExt spid="_x0000_s19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2</xdr:row>
          <xdr:rowOff>152400</xdr:rowOff>
        </xdr:from>
        <xdr:to>
          <xdr:col>3</xdr:col>
          <xdr:colOff>19050</xdr:colOff>
          <xdr:row>4</xdr:row>
          <xdr:rowOff>47625</xdr:rowOff>
        </xdr:to>
        <xdr:sp macro="" textlink="">
          <xdr:nvSpPr>
            <xdr:cNvPr id="192513" name="RngCopy" hidden="1">
              <a:extLst>
                <a:ext uri="{63B3BB69-23CF-44E3-9099-C40C66FF867C}">
                  <a14:compatExt spid="_x0000_s192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368300</xdr:colOff>
      <xdr:row>4</xdr:row>
      <xdr:rowOff>0</xdr:rowOff>
    </xdr:from>
    <xdr:to>
      <xdr:col>15</xdr:col>
      <xdr:colOff>444500</xdr:colOff>
      <xdr:row>20</xdr:row>
      <xdr:rowOff>127000</xdr:rowOff>
    </xdr:to>
    <xdr:graphicFrame macro="">
      <xdr:nvGraphicFramePr>
        <xdr:cNvPr id="2" name="BG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4</xdr:row>
          <xdr:rowOff>76200</xdr:rowOff>
        </xdr:from>
        <xdr:to>
          <xdr:col>15</xdr:col>
          <xdr:colOff>381000</xdr:colOff>
          <xdr:row>13</xdr:row>
          <xdr:rowOff>19050</xdr:rowOff>
        </xdr:to>
        <xdr:sp macro="" textlink="">
          <xdr:nvSpPr>
            <xdr:cNvPr id="192514" name="FmlListBox" hidden="1">
              <a:extLst>
                <a:ext uri="{63B3BB69-23CF-44E3-9099-C40C66FF867C}">
                  <a14:compatExt spid="_x0000_s19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419100</xdr:colOff>
      <xdr:row>4</xdr:row>
      <xdr:rowOff>0</xdr:rowOff>
    </xdr:from>
    <xdr:to>
      <xdr:col>11</xdr:col>
      <xdr:colOff>596900</xdr:colOff>
      <xdr:row>20</xdr:row>
      <xdr:rowOff>127000</xdr:rowOff>
    </xdr:to>
    <xdr:graphicFrame macro="">
      <xdr:nvGraphicFramePr>
        <xdr:cNvPr id="3" name="Result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13</xdr:row>
          <xdr:rowOff>57150</xdr:rowOff>
        </xdr:from>
        <xdr:to>
          <xdr:col>14</xdr:col>
          <xdr:colOff>419100</xdr:colOff>
          <xdr:row>14</xdr:row>
          <xdr:rowOff>95250</xdr:rowOff>
        </xdr:to>
        <xdr:sp macro="" textlink="">
          <xdr:nvSpPr>
            <xdr:cNvPr id="192515" name="Label1" hidden="1">
              <a:extLst>
                <a:ext uri="{63B3BB69-23CF-44E3-9099-C40C66FF867C}">
                  <a14:compatExt spid="_x0000_s19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14</xdr:row>
          <xdr:rowOff>95250</xdr:rowOff>
        </xdr:from>
        <xdr:to>
          <xdr:col>14</xdr:col>
          <xdr:colOff>238125</xdr:colOff>
          <xdr:row>15</xdr:row>
          <xdr:rowOff>133350</xdr:rowOff>
        </xdr:to>
        <xdr:sp macro="" textlink="">
          <xdr:nvSpPr>
            <xdr:cNvPr id="192516" name="Label2" hidden="1">
              <a:extLst>
                <a:ext uri="{63B3BB69-23CF-44E3-9099-C40C66FF867C}">
                  <a14:compatExt spid="_x0000_s19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14</xdr:row>
          <xdr:rowOff>76200</xdr:rowOff>
        </xdr:from>
        <xdr:to>
          <xdr:col>13</xdr:col>
          <xdr:colOff>552450</xdr:colOff>
          <xdr:row>15</xdr:row>
          <xdr:rowOff>114300</xdr:rowOff>
        </xdr:to>
        <xdr:sp macro="" textlink="">
          <xdr:nvSpPr>
            <xdr:cNvPr id="192517" name="XScaleMin" hidden="1">
              <a:extLst>
                <a:ext uri="{63B3BB69-23CF-44E3-9099-C40C66FF867C}">
                  <a14:compatExt spid="_x0000_s19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14</xdr:row>
          <xdr:rowOff>76200</xdr:rowOff>
        </xdr:from>
        <xdr:to>
          <xdr:col>15</xdr:col>
          <xdr:colOff>276225</xdr:colOff>
          <xdr:row>15</xdr:row>
          <xdr:rowOff>114300</xdr:rowOff>
        </xdr:to>
        <xdr:sp macro="" textlink="">
          <xdr:nvSpPr>
            <xdr:cNvPr id="192518" name="XScaleMax" hidden="1">
              <a:extLst>
                <a:ext uri="{63B3BB69-23CF-44E3-9099-C40C66FF867C}">
                  <a14:compatExt spid="_x0000_s19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16</xdr:row>
          <xdr:rowOff>0</xdr:rowOff>
        </xdr:from>
        <xdr:to>
          <xdr:col>14</xdr:col>
          <xdr:colOff>76200</xdr:colOff>
          <xdr:row>17</xdr:row>
          <xdr:rowOff>38100</xdr:rowOff>
        </xdr:to>
        <xdr:sp macro="" textlink="">
          <xdr:nvSpPr>
            <xdr:cNvPr id="192519" name="Label3" hidden="1">
              <a:extLst>
                <a:ext uri="{63B3BB69-23CF-44E3-9099-C40C66FF867C}">
                  <a14:compatExt spid="_x0000_s19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15</xdr:row>
          <xdr:rowOff>161925</xdr:rowOff>
        </xdr:from>
        <xdr:to>
          <xdr:col>15</xdr:col>
          <xdr:colOff>342900</xdr:colOff>
          <xdr:row>17</xdr:row>
          <xdr:rowOff>9525</xdr:rowOff>
        </xdr:to>
        <xdr:sp macro="" textlink="">
          <xdr:nvSpPr>
            <xdr:cNvPr id="192520" name="YScaleLogarithmic" hidden="1">
              <a:extLst>
                <a:ext uri="{63B3BB69-23CF-44E3-9099-C40C66FF867C}">
                  <a14:compatExt spid="_x0000_s19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17</xdr:row>
          <xdr:rowOff>38100</xdr:rowOff>
        </xdr:from>
        <xdr:to>
          <xdr:col>14</xdr:col>
          <xdr:colOff>238125</xdr:colOff>
          <xdr:row>18</xdr:row>
          <xdr:rowOff>76200</xdr:rowOff>
        </xdr:to>
        <xdr:sp macro="" textlink="">
          <xdr:nvSpPr>
            <xdr:cNvPr id="192521" name="Label4" hidden="1">
              <a:extLst>
                <a:ext uri="{63B3BB69-23CF-44E3-9099-C40C66FF867C}">
                  <a14:compatExt spid="_x0000_s192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17</xdr:row>
          <xdr:rowOff>9525</xdr:rowOff>
        </xdr:from>
        <xdr:to>
          <xdr:col>13</xdr:col>
          <xdr:colOff>552450</xdr:colOff>
          <xdr:row>18</xdr:row>
          <xdr:rowOff>47625</xdr:rowOff>
        </xdr:to>
        <xdr:sp macro="" textlink="">
          <xdr:nvSpPr>
            <xdr:cNvPr id="192522" name="YScaleMin" hidden="1">
              <a:extLst>
                <a:ext uri="{63B3BB69-23CF-44E3-9099-C40C66FF867C}">
                  <a14:compatExt spid="_x0000_s19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17</xdr:row>
          <xdr:rowOff>9525</xdr:rowOff>
        </xdr:from>
        <xdr:to>
          <xdr:col>15</xdr:col>
          <xdr:colOff>276225</xdr:colOff>
          <xdr:row>18</xdr:row>
          <xdr:rowOff>47625</xdr:rowOff>
        </xdr:to>
        <xdr:sp macro="" textlink="">
          <xdr:nvSpPr>
            <xdr:cNvPr id="192523" name="YScaleMax" hidden="1">
              <a:extLst>
                <a:ext uri="{63B3BB69-23CF-44E3-9099-C40C66FF867C}">
                  <a14:compatExt spid="_x0000_s19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552450</xdr:colOff>
          <xdr:row>18</xdr:row>
          <xdr:rowOff>123825</xdr:rowOff>
        </xdr:from>
        <xdr:to>
          <xdr:col>14</xdr:col>
          <xdr:colOff>381000</xdr:colOff>
          <xdr:row>20</xdr:row>
          <xdr:rowOff>19050</xdr:rowOff>
        </xdr:to>
        <xdr:sp macro="" textlink="">
          <xdr:nvSpPr>
            <xdr:cNvPr id="192524" name="ScaleYes" hidden="1">
              <a:extLst>
                <a:ext uri="{63B3BB69-23CF-44E3-9099-C40C66FF867C}">
                  <a14:compatExt spid="_x0000_s19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18</xdr:row>
          <xdr:rowOff>123825</xdr:rowOff>
        </xdr:from>
        <xdr:to>
          <xdr:col>15</xdr:col>
          <xdr:colOff>276225</xdr:colOff>
          <xdr:row>20</xdr:row>
          <xdr:rowOff>19050</xdr:rowOff>
        </xdr:to>
        <xdr:sp macro="" textlink="">
          <xdr:nvSpPr>
            <xdr:cNvPr id="192525" name="ScaleDefault" hidden="1">
              <a:extLst>
                <a:ext uri="{63B3BB69-23CF-44E3-9099-C40C66FF867C}">
                  <a14:compatExt spid="_x0000_s19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2</xdr:row>
          <xdr:rowOff>152400</xdr:rowOff>
        </xdr:from>
        <xdr:to>
          <xdr:col>3</xdr:col>
          <xdr:colOff>19050</xdr:colOff>
          <xdr:row>4</xdr:row>
          <xdr:rowOff>47625</xdr:rowOff>
        </xdr:to>
        <xdr:sp macro="" textlink="">
          <xdr:nvSpPr>
            <xdr:cNvPr id="193537" name="RngCopy" hidden="1">
              <a:extLst>
                <a:ext uri="{63B3BB69-23CF-44E3-9099-C40C66FF867C}">
                  <a14:compatExt spid="_x0000_s193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368300</xdr:colOff>
      <xdr:row>4</xdr:row>
      <xdr:rowOff>0</xdr:rowOff>
    </xdr:from>
    <xdr:to>
      <xdr:col>15</xdr:col>
      <xdr:colOff>444500</xdr:colOff>
      <xdr:row>20</xdr:row>
      <xdr:rowOff>127000</xdr:rowOff>
    </xdr:to>
    <xdr:graphicFrame macro="">
      <xdr:nvGraphicFramePr>
        <xdr:cNvPr id="2" name="BG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4</xdr:row>
          <xdr:rowOff>76200</xdr:rowOff>
        </xdr:from>
        <xdr:to>
          <xdr:col>15</xdr:col>
          <xdr:colOff>381000</xdr:colOff>
          <xdr:row>13</xdr:row>
          <xdr:rowOff>19050</xdr:rowOff>
        </xdr:to>
        <xdr:sp macro="" textlink="">
          <xdr:nvSpPr>
            <xdr:cNvPr id="193538" name="FmlListBox" hidden="1">
              <a:extLst>
                <a:ext uri="{63B3BB69-23CF-44E3-9099-C40C66FF867C}">
                  <a14:compatExt spid="_x0000_s193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419100</xdr:colOff>
      <xdr:row>4</xdr:row>
      <xdr:rowOff>0</xdr:rowOff>
    </xdr:from>
    <xdr:to>
      <xdr:col>11</xdr:col>
      <xdr:colOff>596900</xdr:colOff>
      <xdr:row>20</xdr:row>
      <xdr:rowOff>127000</xdr:rowOff>
    </xdr:to>
    <xdr:graphicFrame macro="">
      <xdr:nvGraphicFramePr>
        <xdr:cNvPr id="3" name="Result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13</xdr:row>
          <xdr:rowOff>57150</xdr:rowOff>
        </xdr:from>
        <xdr:to>
          <xdr:col>14</xdr:col>
          <xdr:colOff>419100</xdr:colOff>
          <xdr:row>14</xdr:row>
          <xdr:rowOff>95250</xdr:rowOff>
        </xdr:to>
        <xdr:sp macro="" textlink="">
          <xdr:nvSpPr>
            <xdr:cNvPr id="193539" name="Label1" hidden="1">
              <a:extLst>
                <a:ext uri="{63B3BB69-23CF-44E3-9099-C40C66FF867C}">
                  <a14:compatExt spid="_x0000_s193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14</xdr:row>
          <xdr:rowOff>95250</xdr:rowOff>
        </xdr:from>
        <xdr:to>
          <xdr:col>14</xdr:col>
          <xdr:colOff>238125</xdr:colOff>
          <xdr:row>15</xdr:row>
          <xdr:rowOff>133350</xdr:rowOff>
        </xdr:to>
        <xdr:sp macro="" textlink="">
          <xdr:nvSpPr>
            <xdr:cNvPr id="193540" name="Label2" hidden="1">
              <a:extLst>
                <a:ext uri="{63B3BB69-23CF-44E3-9099-C40C66FF867C}">
                  <a14:compatExt spid="_x0000_s193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14</xdr:row>
          <xdr:rowOff>76200</xdr:rowOff>
        </xdr:from>
        <xdr:to>
          <xdr:col>13</xdr:col>
          <xdr:colOff>552450</xdr:colOff>
          <xdr:row>15</xdr:row>
          <xdr:rowOff>114300</xdr:rowOff>
        </xdr:to>
        <xdr:sp macro="" textlink="">
          <xdr:nvSpPr>
            <xdr:cNvPr id="193541" name="XScaleMin" hidden="1">
              <a:extLst>
                <a:ext uri="{63B3BB69-23CF-44E3-9099-C40C66FF867C}">
                  <a14:compatExt spid="_x0000_s193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14</xdr:row>
          <xdr:rowOff>76200</xdr:rowOff>
        </xdr:from>
        <xdr:to>
          <xdr:col>15</xdr:col>
          <xdr:colOff>276225</xdr:colOff>
          <xdr:row>15</xdr:row>
          <xdr:rowOff>114300</xdr:rowOff>
        </xdr:to>
        <xdr:sp macro="" textlink="">
          <xdr:nvSpPr>
            <xdr:cNvPr id="193542" name="XScaleMax" hidden="1">
              <a:extLst>
                <a:ext uri="{63B3BB69-23CF-44E3-9099-C40C66FF867C}">
                  <a14:compatExt spid="_x0000_s193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16</xdr:row>
          <xdr:rowOff>0</xdr:rowOff>
        </xdr:from>
        <xdr:to>
          <xdr:col>14</xdr:col>
          <xdr:colOff>76200</xdr:colOff>
          <xdr:row>17</xdr:row>
          <xdr:rowOff>38100</xdr:rowOff>
        </xdr:to>
        <xdr:sp macro="" textlink="">
          <xdr:nvSpPr>
            <xdr:cNvPr id="193543" name="Label3" hidden="1">
              <a:extLst>
                <a:ext uri="{63B3BB69-23CF-44E3-9099-C40C66FF867C}">
                  <a14:compatExt spid="_x0000_s193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15</xdr:row>
          <xdr:rowOff>161925</xdr:rowOff>
        </xdr:from>
        <xdr:to>
          <xdr:col>15</xdr:col>
          <xdr:colOff>342900</xdr:colOff>
          <xdr:row>17</xdr:row>
          <xdr:rowOff>9525</xdr:rowOff>
        </xdr:to>
        <xdr:sp macro="" textlink="">
          <xdr:nvSpPr>
            <xdr:cNvPr id="193544" name="YScaleLogarithmic" hidden="1">
              <a:extLst>
                <a:ext uri="{63B3BB69-23CF-44E3-9099-C40C66FF867C}">
                  <a14:compatExt spid="_x0000_s193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17</xdr:row>
          <xdr:rowOff>38100</xdr:rowOff>
        </xdr:from>
        <xdr:to>
          <xdr:col>14</xdr:col>
          <xdr:colOff>238125</xdr:colOff>
          <xdr:row>18</xdr:row>
          <xdr:rowOff>76200</xdr:rowOff>
        </xdr:to>
        <xdr:sp macro="" textlink="">
          <xdr:nvSpPr>
            <xdr:cNvPr id="193545" name="Label4" hidden="1">
              <a:extLst>
                <a:ext uri="{63B3BB69-23CF-44E3-9099-C40C66FF867C}">
                  <a14:compatExt spid="_x0000_s193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17</xdr:row>
          <xdr:rowOff>9525</xdr:rowOff>
        </xdr:from>
        <xdr:to>
          <xdr:col>13</xdr:col>
          <xdr:colOff>552450</xdr:colOff>
          <xdr:row>18</xdr:row>
          <xdr:rowOff>47625</xdr:rowOff>
        </xdr:to>
        <xdr:sp macro="" textlink="">
          <xdr:nvSpPr>
            <xdr:cNvPr id="193546" name="YScaleMin" hidden="1">
              <a:extLst>
                <a:ext uri="{63B3BB69-23CF-44E3-9099-C40C66FF867C}">
                  <a14:compatExt spid="_x0000_s193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17</xdr:row>
          <xdr:rowOff>9525</xdr:rowOff>
        </xdr:from>
        <xdr:to>
          <xdr:col>15</xdr:col>
          <xdr:colOff>276225</xdr:colOff>
          <xdr:row>18</xdr:row>
          <xdr:rowOff>47625</xdr:rowOff>
        </xdr:to>
        <xdr:sp macro="" textlink="">
          <xdr:nvSpPr>
            <xdr:cNvPr id="193547" name="YScaleMax" hidden="1">
              <a:extLst>
                <a:ext uri="{63B3BB69-23CF-44E3-9099-C40C66FF867C}">
                  <a14:compatExt spid="_x0000_s193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552450</xdr:colOff>
          <xdr:row>18</xdr:row>
          <xdr:rowOff>123825</xdr:rowOff>
        </xdr:from>
        <xdr:to>
          <xdr:col>14</xdr:col>
          <xdr:colOff>381000</xdr:colOff>
          <xdr:row>20</xdr:row>
          <xdr:rowOff>19050</xdr:rowOff>
        </xdr:to>
        <xdr:sp macro="" textlink="">
          <xdr:nvSpPr>
            <xdr:cNvPr id="193548" name="ScaleYes" hidden="1">
              <a:extLst>
                <a:ext uri="{63B3BB69-23CF-44E3-9099-C40C66FF867C}">
                  <a14:compatExt spid="_x0000_s193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18</xdr:row>
          <xdr:rowOff>123825</xdr:rowOff>
        </xdr:from>
        <xdr:to>
          <xdr:col>15</xdr:col>
          <xdr:colOff>276225</xdr:colOff>
          <xdr:row>20</xdr:row>
          <xdr:rowOff>19050</xdr:rowOff>
        </xdr:to>
        <xdr:sp macro="" textlink="">
          <xdr:nvSpPr>
            <xdr:cNvPr id="193549" name="ScaleDefault" hidden="1">
              <a:extLst>
                <a:ext uri="{63B3BB69-23CF-44E3-9099-C40C66FF867C}">
                  <a14:compatExt spid="_x0000_s193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5.xml"/><Relationship Id="rId117" Type="http://schemas.openxmlformats.org/officeDocument/2006/relationships/control" Target="../activeX/activeX64.xml"/><Relationship Id="rId21" Type="http://schemas.openxmlformats.org/officeDocument/2006/relationships/image" Target="../media/image6.emf"/><Relationship Id="rId42" Type="http://schemas.openxmlformats.org/officeDocument/2006/relationships/control" Target="../activeX/activeX23.xml"/><Relationship Id="rId47" Type="http://schemas.openxmlformats.org/officeDocument/2006/relationships/image" Target="../media/image18.emf"/><Relationship Id="rId63" Type="http://schemas.openxmlformats.org/officeDocument/2006/relationships/image" Target="../media/image26.emf"/><Relationship Id="rId68" Type="http://schemas.openxmlformats.org/officeDocument/2006/relationships/control" Target="../activeX/activeX36.xml"/><Relationship Id="rId84" Type="http://schemas.openxmlformats.org/officeDocument/2006/relationships/control" Target="../activeX/activeX44.xml"/><Relationship Id="rId89" Type="http://schemas.openxmlformats.org/officeDocument/2006/relationships/image" Target="../media/image39.emf"/><Relationship Id="rId112" Type="http://schemas.openxmlformats.org/officeDocument/2006/relationships/image" Target="../media/image47.emf"/><Relationship Id="rId133" Type="http://schemas.openxmlformats.org/officeDocument/2006/relationships/image" Target="../media/image54.emf"/><Relationship Id="rId138" Type="http://schemas.openxmlformats.org/officeDocument/2006/relationships/control" Target="../activeX/activeX79.xml"/><Relationship Id="rId16" Type="http://schemas.openxmlformats.org/officeDocument/2006/relationships/control" Target="../activeX/activeX7.xml"/><Relationship Id="rId107" Type="http://schemas.openxmlformats.org/officeDocument/2006/relationships/control" Target="../activeX/activeX59.xml"/><Relationship Id="rId11" Type="http://schemas.openxmlformats.org/officeDocument/2006/relationships/image" Target="../media/image3.emf"/><Relationship Id="rId32" Type="http://schemas.openxmlformats.org/officeDocument/2006/relationships/control" Target="../activeX/activeX18.xml"/><Relationship Id="rId37" Type="http://schemas.openxmlformats.org/officeDocument/2006/relationships/image" Target="../media/image13.emf"/><Relationship Id="rId53" Type="http://schemas.openxmlformats.org/officeDocument/2006/relationships/image" Target="../media/image21.emf"/><Relationship Id="rId58" Type="http://schemas.openxmlformats.org/officeDocument/2006/relationships/control" Target="../activeX/activeX31.xml"/><Relationship Id="rId74" Type="http://schemas.openxmlformats.org/officeDocument/2006/relationships/control" Target="../activeX/activeX39.xml"/><Relationship Id="rId79" Type="http://schemas.openxmlformats.org/officeDocument/2006/relationships/image" Target="../media/image34.emf"/><Relationship Id="rId102" Type="http://schemas.openxmlformats.org/officeDocument/2006/relationships/control" Target="../activeX/activeX55.xml"/><Relationship Id="rId123" Type="http://schemas.openxmlformats.org/officeDocument/2006/relationships/control" Target="../activeX/activeX67.xml"/><Relationship Id="rId128" Type="http://schemas.openxmlformats.org/officeDocument/2006/relationships/control" Target="../activeX/activeX72.xml"/><Relationship Id="rId144" Type="http://schemas.openxmlformats.org/officeDocument/2006/relationships/ctrlProp" Target="../ctrlProps/ctrlProp1.xml"/><Relationship Id="rId5" Type="http://schemas.openxmlformats.org/officeDocument/2006/relationships/control" Target="../activeX/activeX1.xml"/><Relationship Id="rId90" Type="http://schemas.openxmlformats.org/officeDocument/2006/relationships/control" Target="../activeX/activeX47.xml"/><Relationship Id="rId95" Type="http://schemas.openxmlformats.org/officeDocument/2006/relationships/image" Target="../media/image42.emf"/><Relationship Id="rId22" Type="http://schemas.openxmlformats.org/officeDocument/2006/relationships/control" Target="../activeX/activeX12.xml"/><Relationship Id="rId27" Type="http://schemas.openxmlformats.org/officeDocument/2006/relationships/image" Target="../media/image8.emf"/><Relationship Id="rId43" Type="http://schemas.openxmlformats.org/officeDocument/2006/relationships/image" Target="../media/image16.emf"/><Relationship Id="rId48" Type="http://schemas.openxmlformats.org/officeDocument/2006/relationships/control" Target="../activeX/activeX26.xml"/><Relationship Id="rId64" Type="http://schemas.openxmlformats.org/officeDocument/2006/relationships/control" Target="../activeX/activeX34.xml"/><Relationship Id="rId69" Type="http://schemas.openxmlformats.org/officeDocument/2006/relationships/image" Target="../media/image29.emf"/><Relationship Id="rId113" Type="http://schemas.openxmlformats.org/officeDocument/2006/relationships/control" Target="../activeX/activeX62.xml"/><Relationship Id="rId118" Type="http://schemas.openxmlformats.org/officeDocument/2006/relationships/image" Target="../media/image50.emf"/><Relationship Id="rId134" Type="http://schemas.openxmlformats.org/officeDocument/2006/relationships/control" Target="../activeX/activeX76.xml"/><Relationship Id="rId139" Type="http://schemas.openxmlformats.org/officeDocument/2006/relationships/control" Target="../activeX/activeX80.xml"/><Relationship Id="rId80" Type="http://schemas.openxmlformats.org/officeDocument/2006/relationships/control" Target="../activeX/activeX42.xml"/><Relationship Id="rId85" Type="http://schemas.openxmlformats.org/officeDocument/2006/relationships/image" Target="../media/image37.emf"/><Relationship Id="rId3" Type="http://schemas.openxmlformats.org/officeDocument/2006/relationships/drawing" Target="../drawings/drawing1.xml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5" Type="http://schemas.openxmlformats.org/officeDocument/2006/relationships/image" Target="../media/image7.emf"/><Relationship Id="rId33" Type="http://schemas.openxmlformats.org/officeDocument/2006/relationships/image" Target="../media/image11.emf"/><Relationship Id="rId38" Type="http://schemas.openxmlformats.org/officeDocument/2006/relationships/control" Target="../activeX/activeX21.xml"/><Relationship Id="rId46" Type="http://schemas.openxmlformats.org/officeDocument/2006/relationships/control" Target="../activeX/activeX25.xml"/><Relationship Id="rId59" Type="http://schemas.openxmlformats.org/officeDocument/2006/relationships/image" Target="../media/image24.emf"/><Relationship Id="rId67" Type="http://schemas.openxmlformats.org/officeDocument/2006/relationships/image" Target="../media/image28.emf"/><Relationship Id="rId103" Type="http://schemas.openxmlformats.org/officeDocument/2006/relationships/control" Target="../activeX/activeX56.xml"/><Relationship Id="rId108" Type="http://schemas.openxmlformats.org/officeDocument/2006/relationships/image" Target="../media/image45.emf"/><Relationship Id="rId116" Type="http://schemas.openxmlformats.org/officeDocument/2006/relationships/image" Target="../media/image49.emf"/><Relationship Id="rId124" Type="http://schemas.openxmlformats.org/officeDocument/2006/relationships/control" Target="../activeX/activeX68.xml"/><Relationship Id="rId129" Type="http://schemas.openxmlformats.org/officeDocument/2006/relationships/control" Target="../activeX/activeX73.xml"/><Relationship Id="rId137" Type="http://schemas.openxmlformats.org/officeDocument/2006/relationships/control" Target="../activeX/activeX78.xml"/><Relationship Id="rId20" Type="http://schemas.openxmlformats.org/officeDocument/2006/relationships/control" Target="../activeX/activeX11.xml"/><Relationship Id="rId41" Type="http://schemas.openxmlformats.org/officeDocument/2006/relationships/image" Target="../media/image15.emf"/><Relationship Id="rId54" Type="http://schemas.openxmlformats.org/officeDocument/2006/relationships/control" Target="../activeX/activeX29.xml"/><Relationship Id="rId62" Type="http://schemas.openxmlformats.org/officeDocument/2006/relationships/control" Target="../activeX/activeX33.xml"/><Relationship Id="rId70" Type="http://schemas.openxmlformats.org/officeDocument/2006/relationships/control" Target="../activeX/activeX37.xml"/><Relationship Id="rId75" Type="http://schemas.openxmlformats.org/officeDocument/2006/relationships/image" Target="../media/image32.emf"/><Relationship Id="rId83" Type="http://schemas.openxmlformats.org/officeDocument/2006/relationships/image" Target="../media/image36.emf"/><Relationship Id="rId88" Type="http://schemas.openxmlformats.org/officeDocument/2006/relationships/control" Target="../activeX/activeX46.xml"/><Relationship Id="rId91" Type="http://schemas.openxmlformats.org/officeDocument/2006/relationships/image" Target="../media/image40.emf"/><Relationship Id="rId96" Type="http://schemas.openxmlformats.org/officeDocument/2006/relationships/control" Target="../activeX/activeX50.xml"/><Relationship Id="rId111" Type="http://schemas.openxmlformats.org/officeDocument/2006/relationships/control" Target="../activeX/activeX61.xml"/><Relationship Id="rId132" Type="http://schemas.openxmlformats.org/officeDocument/2006/relationships/control" Target="../activeX/activeX75.xml"/><Relationship Id="rId140" Type="http://schemas.openxmlformats.org/officeDocument/2006/relationships/control" Target="../activeX/activeX81.xml"/><Relationship Id="rId145" Type="http://schemas.openxmlformats.org/officeDocument/2006/relationships/ctrlProp" Target="../ctrlProps/ctrlProp2.xml"/><Relationship Id="rId1" Type="http://schemas.openxmlformats.org/officeDocument/2006/relationships/hyperlink" Target="mailto:jzhyang@ustc.edu.cn" TargetMode="External"/><Relationship Id="rId6" Type="http://schemas.openxmlformats.org/officeDocument/2006/relationships/image" Target="../media/image1.emf"/><Relationship Id="rId15" Type="http://schemas.openxmlformats.org/officeDocument/2006/relationships/image" Target="../media/image5.emf"/><Relationship Id="rId23" Type="http://schemas.openxmlformats.org/officeDocument/2006/relationships/control" Target="../activeX/activeX13.xml"/><Relationship Id="rId28" Type="http://schemas.openxmlformats.org/officeDocument/2006/relationships/control" Target="../activeX/activeX16.xml"/><Relationship Id="rId36" Type="http://schemas.openxmlformats.org/officeDocument/2006/relationships/control" Target="../activeX/activeX20.xml"/><Relationship Id="rId49" Type="http://schemas.openxmlformats.org/officeDocument/2006/relationships/image" Target="../media/image19.emf"/><Relationship Id="rId57" Type="http://schemas.openxmlformats.org/officeDocument/2006/relationships/image" Target="../media/image23.emf"/><Relationship Id="rId106" Type="http://schemas.openxmlformats.org/officeDocument/2006/relationships/image" Target="../media/image44.emf"/><Relationship Id="rId114" Type="http://schemas.openxmlformats.org/officeDocument/2006/relationships/image" Target="../media/image48.emf"/><Relationship Id="rId119" Type="http://schemas.openxmlformats.org/officeDocument/2006/relationships/control" Target="../activeX/activeX65.xml"/><Relationship Id="rId127" Type="http://schemas.openxmlformats.org/officeDocument/2006/relationships/control" Target="../activeX/activeX71.xml"/><Relationship Id="rId10" Type="http://schemas.openxmlformats.org/officeDocument/2006/relationships/control" Target="../activeX/activeX4.xml"/><Relationship Id="rId31" Type="http://schemas.openxmlformats.org/officeDocument/2006/relationships/image" Target="../media/image10.emf"/><Relationship Id="rId44" Type="http://schemas.openxmlformats.org/officeDocument/2006/relationships/control" Target="../activeX/activeX24.xml"/><Relationship Id="rId52" Type="http://schemas.openxmlformats.org/officeDocument/2006/relationships/control" Target="../activeX/activeX28.xml"/><Relationship Id="rId60" Type="http://schemas.openxmlformats.org/officeDocument/2006/relationships/control" Target="../activeX/activeX32.xml"/><Relationship Id="rId65" Type="http://schemas.openxmlformats.org/officeDocument/2006/relationships/image" Target="../media/image27.emf"/><Relationship Id="rId73" Type="http://schemas.openxmlformats.org/officeDocument/2006/relationships/image" Target="../media/image31.emf"/><Relationship Id="rId78" Type="http://schemas.openxmlformats.org/officeDocument/2006/relationships/control" Target="../activeX/activeX41.xml"/><Relationship Id="rId81" Type="http://schemas.openxmlformats.org/officeDocument/2006/relationships/image" Target="../media/image35.emf"/><Relationship Id="rId86" Type="http://schemas.openxmlformats.org/officeDocument/2006/relationships/control" Target="../activeX/activeX45.xml"/><Relationship Id="rId94" Type="http://schemas.openxmlformats.org/officeDocument/2006/relationships/control" Target="../activeX/activeX49.xml"/><Relationship Id="rId99" Type="http://schemas.openxmlformats.org/officeDocument/2006/relationships/control" Target="../activeX/activeX52.xml"/><Relationship Id="rId101" Type="http://schemas.openxmlformats.org/officeDocument/2006/relationships/control" Target="../activeX/activeX54.xml"/><Relationship Id="rId122" Type="http://schemas.openxmlformats.org/officeDocument/2006/relationships/image" Target="../media/image52.emf"/><Relationship Id="rId130" Type="http://schemas.openxmlformats.org/officeDocument/2006/relationships/control" Target="../activeX/activeX74.xml"/><Relationship Id="rId135" Type="http://schemas.openxmlformats.org/officeDocument/2006/relationships/control" Target="../activeX/activeX77.xml"/><Relationship Id="rId143" Type="http://schemas.openxmlformats.org/officeDocument/2006/relationships/control" Target="../activeX/activeX83.xml"/><Relationship Id="rId4" Type="http://schemas.openxmlformats.org/officeDocument/2006/relationships/vmlDrawing" Target="../drawings/vmlDrawing1.vml"/><Relationship Id="rId9" Type="http://schemas.openxmlformats.org/officeDocument/2006/relationships/image" Target="../media/image2.emf"/><Relationship Id="rId13" Type="http://schemas.openxmlformats.org/officeDocument/2006/relationships/image" Target="../media/image4.emf"/><Relationship Id="rId18" Type="http://schemas.openxmlformats.org/officeDocument/2006/relationships/control" Target="../activeX/activeX9.xml"/><Relationship Id="rId39" Type="http://schemas.openxmlformats.org/officeDocument/2006/relationships/image" Target="../media/image14.emf"/><Relationship Id="rId109" Type="http://schemas.openxmlformats.org/officeDocument/2006/relationships/control" Target="../activeX/activeX60.xml"/><Relationship Id="rId34" Type="http://schemas.openxmlformats.org/officeDocument/2006/relationships/control" Target="../activeX/activeX19.xml"/><Relationship Id="rId50" Type="http://schemas.openxmlformats.org/officeDocument/2006/relationships/control" Target="../activeX/activeX27.xml"/><Relationship Id="rId55" Type="http://schemas.openxmlformats.org/officeDocument/2006/relationships/image" Target="../media/image22.emf"/><Relationship Id="rId76" Type="http://schemas.openxmlformats.org/officeDocument/2006/relationships/control" Target="../activeX/activeX40.xml"/><Relationship Id="rId97" Type="http://schemas.openxmlformats.org/officeDocument/2006/relationships/image" Target="../media/image43.emf"/><Relationship Id="rId104" Type="http://schemas.openxmlformats.org/officeDocument/2006/relationships/control" Target="../activeX/activeX57.xml"/><Relationship Id="rId120" Type="http://schemas.openxmlformats.org/officeDocument/2006/relationships/image" Target="../media/image51.emf"/><Relationship Id="rId125" Type="http://schemas.openxmlformats.org/officeDocument/2006/relationships/control" Target="../activeX/activeX69.xml"/><Relationship Id="rId141" Type="http://schemas.openxmlformats.org/officeDocument/2006/relationships/image" Target="../media/image56.emf"/><Relationship Id="rId7" Type="http://schemas.openxmlformats.org/officeDocument/2006/relationships/control" Target="../activeX/activeX2.xml"/><Relationship Id="rId71" Type="http://schemas.openxmlformats.org/officeDocument/2006/relationships/image" Target="../media/image30.emf"/><Relationship Id="rId92" Type="http://schemas.openxmlformats.org/officeDocument/2006/relationships/control" Target="../activeX/activeX48.xml"/><Relationship Id="rId2" Type="http://schemas.openxmlformats.org/officeDocument/2006/relationships/printerSettings" Target="../printerSettings/printerSettings1.bin"/><Relationship Id="rId29" Type="http://schemas.openxmlformats.org/officeDocument/2006/relationships/image" Target="../media/image9.emf"/><Relationship Id="rId24" Type="http://schemas.openxmlformats.org/officeDocument/2006/relationships/control" Target="../activeX/activeX14.xml"/><Relationship Id="rId40" Type="http://schemas.openxmlformats.org/officeDocument/2006/relationships/control" Target="../activeX/activeX22.xml"/><Relationship Id="rId45" Type="http://schemas.openxmlformats.org/officeDocument/2006/relationships/image" Target="../media/image17.emf"/><Relationship Id="rId66" Type="http://schemas.openxmlformats.org/officeDocument/2006/relationships/control" Target="../activeX/activeX35.xml"/><Relationship Id="rId87" Type="http://schemas.openxmlformats.org/officeDocument/2006/relationships/image" Target="../media/image38.emf"/><Relationship Id="rId110" Type="http://schemas.openxmlformats.org/officeDocument/2006/relationships/image" Target="../media/image46.emf"/><Relationship Id="rId115" Type="http://schemas.openxmlformats.org/officeDocument/2006/relationships/control" Target="../activeX/activeX63.xml"/><Relationship Id="rId131" Type="http://schemas.openxmlformats.org/officeDocument/2006/relationships/image" Target="../media/image53.emf"/><Relationship Id="rId136" Type="http://schemas.openxmlformats.org/officeDocument/2006/relationships/image" Target="../media/image55.emf"/><Relationship Id="rId61" Type="http://schemas.openxmlformats.org/officeDocument/2006/relationships/image" Target="../media/image25.emf"/><Relationship Id="rId82" Type="http://schemas.openxmlformats.org/officeDocument/2006/relationships/control" Target="../activeX/activeX43.xml"/><Relationship Id="rId19" Type="http://schemas.openxmlformats.org/officeDocument/2006/relationships/control" Target="../activeX/activeX10.xml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7.xml"/><Relationship Id="rId35" Type="http://schemas.openxmlformats.org/officeDocument/2006/relationships/image" Target="../media/image12.emf"/><Relationship Id="rId56" Type="http://schemas.openxmlformats.org/officeDocument/2006/relationships/control" Target="../activeX/activeX30.xml"/><Relationship Id="rId77" Type="http://schemas.openxmlformats.org/officeDocument/2006/relationships/image" Target="../media/image33.emf"/><Relationship Id="rId100" Type="http://schemas.openxmlformats.org/officeDocument/2006/relationships/control" Target="../activeX/activeX53.xml"/><Relationship Id="rId105" Type="http://schemas.openxmlformats.org/officeDocument/2006/relationships/control" Target="../activeX/activeX58.xml"/><Relationship Id="rId126" Type="http://schemas.openxmlformats.org/officeDocument/2006/relationships/control" Target="../activeX/activeX70.xml"/><Relationship Id="rId8" Type="http://schemas.openxmlformats.org/officeDocument/2006/relationships/control" Target="../activeX/activeX3.xml"/><Relationship Id="rId51" Type="http://schemas.openxmlformats.org/officeDocument/2006/relationships/image" Target="../media/image20.emf"/><Relationship Id="rId72" Type="http://schemas.openxmlformats.org/officeDocument/2006/relationships/control" Target="../activeX/activeX38.xml"/><Relationship Id="rId93" Type="http://schemas.openxmlformats.org/officeDocument/2006/relationships/image" Target="../media/image41.emf"/><Relationship Id="rId98" Type="http://schemas.openxmlformats.org/officeDocument/2006/relationships/control" Target="../activeX/activeX51.xml"/><Relationship Id="rId121" Type="http://schemas.openxmlformats.org/officeDocument/2006/relationships/control" Target="../activeX/activeX66.xml"/><Relationship Id="rId142" Type="http://schemas.openxmlformats.org/officeDocument/2006/relationships/control" Target="../activeX/activeX8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13" Type="http://schemas.openxmlformats.org/officeDocument/2006/relationships/control" Target="../activeX/activeX89.xml"/><Relationship Id="rId18" Type="http://schemas.openxmlformats.org/officeDocument/2006/relationships/image" Target="../media/image64.emf"/><Relationship Id="rId26" Type="http://schemas.openxmlformats.org/officeDocument/2006/relationships/image" Target="../media/image68.emf"/><Relationship Id="rId3" Type="http://schemas.openxmlformats.org/officeDocument/2006/relationships/control" Target="../activeX/activeX84.xml"/><Relationship Id="rId21" Type="http://schemas.openxmlformats.org/officeDocument/2006/relationships/control" Target="../activeX/activeX93.xml"/><Relationship Id="rId7" Type="http://schemas.openxmlformats.org/officeDocument/2006/relationships/control" Target="../activeX/activeX86.xml"/><Relationship Id="rId12" Type="http://schemas.openxmlformats.org/officeDocument/2006/relationships/image" Target="../media/image61.emf"/><Relationship Id="rId17" Type="http://schemas.openxmlformats.org/officeDocument/2006/relationships/control" Target="../activeX/activeX91.xml"/><Relationship Id="rId25" Type="http://schemas.openxmlformats.org/officeDocument/2006/relationships/control" Target="../activeX/activeX95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63.emf"/><Relationship Id="rId20" Type="http://schemas.openxmlformats.org/officeDocument/2006/relationships/image" Target="../media/image65.emf"/><Relationship Id="rId1" Type="http://schemas.openxmlformats.org/officeDocument/2006/relationships/drawing" Target="../drawings/drawing3.xml"/><Relationship Id="rId6" Type="http://schemas.openxmlformats.org/officeDocument/2006/relationships/image" Target="../media/image58.emf"/><Relationship Id="rId11" Type="http://schemas.openxmlformats.org/officeDocument/2006/relationships/control" Target="../activeX/activeX88.xml"/><Relationship Id="rId24" Type="http://schemas.openxmlformats.org/officeDocument/2006/relationships/image" Target="../media/image67.emf"/><Relationship Id="rId5" Type="http://schemas.openxmlformats.org/officeDocument/2006/relationships/control" Target="../activeX/activeX85.xml"/><Relationship Id="rId15" Type="http://schemas.openxmlformats.org/officeDocument/2006/relationships/control" Target="../activeX/activeX90.xml"/><Relationship Id="rId23" Type="http://schemas.openxmlformats.org/officeDocument/2006/relationships/control" Target="../activeX/activeX94.xml"/><Relationship Id="rId28" Type="http://schemas.openxmlformats.org/officeDocument/2006/relationships/image" Target="../media/image69.emf"/><Relationship Id="rId10" Type="http://schemas.openxmlformats.org/officeDocument/2006/relationships/image" Target="../media/image60.emf"/><Relationship Id="rId19" Type="http://schemas.openxmlformats.org/officeDocument/2006/relationships/control" Target="../activeX/activeX92.xml"/><Relationship Id="rId4" Type="http://schemas.openxmlformats.org/officeDocument/2006/relationships/image" Target="../media/image57.emf"/><Relationship Id="rId9" Type="http://schemas.openxmlformats.org/officeDocument/2006/relationships/control" Target="../activeX/activeX87.xml"/><Relationship Id="rId14" Type="http://schemas.openxmlformats.org/officeDocument/2006/relationships/image" Target="../media/image62.emf"/><Relationship Id="rId22" Type="http://schemas.openxmlformats.org/officeDocument/2006/relationships/image" Target="../media/image66.emf"/><Relationship Id="rId27" Type="http://schemas.openxmlformats.org/officeDocument/2006/relationships/control" Target="../activeX/activeX9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13" Type="http://schemas.openxmlformats.org/officeDocument/2006/relationships/control" Target="../activeX/activeX102.xml"/><Relationship Id="rId18" Type="http://schemas.openxmlformats.org/officeDocument/2006/relationships/image" Target="../media/image77.emf"/><Relationship Id="rId26" Type="http://schemas.openxmlformats.org/officeDocument/2006/relationships/image" Target="../media/image81.emf"/><Relationship Id="rId3" Type="http://schemas.openxmlformats.org/officeDocument/2006/relationships/control" Target="../activeX/activeX97.xml"/><Relationship Id="rId21" Type="http://schemas.openxmlformats.org/officeDocument/2006/relationships/control" Target="../activeX/activeX106.xml"/><Relationship Id="rId7" Type="http://schemas.openxmlformats.org/officeDocument/2006/relationships/control" Target="../activeX/activeX99.xml"/><Relationship Id="rId12" Type="http://schemas.openxmlformats.org/officeDocument/2006/relationships/image" Target="../media/image74.emf"/><Relationship Id="rId17" Type="http://schemas.openxmlformats.org/officeDocument/2006/relationships/control" Target="../activeX/activeX104.xml"/><Relationship Id="rId25" Type="http://schemas.openxmlformats.org/officeDocument/2006/relationships/control" Target="../activeX/activeX108.xml"/><Relationship Id="rId2" Type="http://schemas.openxmlformats.org/officeDocument/2006/relationships/vmlDrawing" Target="../drawings/vmlDrawing3.vml"/><Relationship Id="rId16" Type="http://schemas.openxmlformats.org/officeDocument/2006/relationships/image" Target="../media/image76.emf"/><Relationship Id="rId20" Type="http://schemas.openxmlformats.org/officeDocument/2006/relationships/image" Target="../media/image78.emf"/><Relationship Id="rId1" Type="http://schemas.openxmlformats.org/officeDocument/2006/relationships/drawing" Target="../drawings/drawing4.xml"/><Relationship Id="rId6" Type="http://schemas.openxmlformats.org/officeDocument/2006/relationships/image" Target="../media/image71.emf"/><Relationship Id="rId11" Type="http://schemas.openxmlformats.org/officeDocument/2006/relationships/control" Target="../activeX/activeX101.xml"/><Relationship Id="rId24" Type="http://schemas.openxmlformats.org/officeDocument/2006/relationships/image" Target="../media/image80.emf"/><Relationship Id="rId5" Type="http://schemas.openxmlformats.org/officeDocument/2006/relationships/control" Target="../activeX/activeX98.xml"/><Relationship Id="rId15" Type="http://schemas.openxmlformats.org/officeDocument/2006/relationships/control" Target="../activeX/activeX103.xml"/><Relationship Id="rId23" Type="http://schemas.openxmlformats.org/officeDocument/2006/relationships/control" Target="../activeX/activeX107.xml"/><Relationship Id="rId28" Type="http://schemas.openxmlformats.org/officeDocument/2006/relationships/image" Target="../media/image82.emf"/><Relationship Id="rId10" Type="http://schemas.openxmlformats.org/officeDocument/2006/relationships/image" Target="../media/image73.emf"/><Relationship Id="rId19" Type="http://schemas.openxmlformats.org/officeDocument/2006/relationships/control" Target="../activeX/activeX105.xml"/><Relationship Id="rId4" Type="http://schemas.openxmlformats.org/officeDocument/2006/relationships/image" Target="../media/image70.emf"/><Relationship Id="rId9" Type="http://schemas.openxmlformats.org/officeDocument/2006/relationships/control" Target="../activeX/activeX100.xml"/><Relationship Id="rId14" Type="http://schemas.openxmlformats.org/officeDocument/2006/relationships/image" Target="../media/image75.emf"/><Relationship Id="rId22" Type="http://schemas.openxmlformats.org/officeDocument/2006/relationships/image" Target="../media/image79.emf"/><Relationship Id="rId27" Type="http://schemas.openxmlformats.org/officeDocument/2006/relationships/control" Target="../activeX/activeX10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5.emf"/><Relationship Id="rId13" Type="http://schemas.openxmlformats.org/officeDocument/2006/relationships/control" Target="../activeX/activeX115.xml"/><Relationship Id="rId18" Type="http://schemas.openxmlformats.org/officeDocument/2006/relationships/image" Target="../media/image90.emf"/><Relationship Id="rId26" Type="http://schemas.openxmlformats.org/officeDocument/2006/relationships/image" Target="../media/image94.emf"/><Relationship Id="rId3" Type="http://schemas.openxmlformats.org/officeDocument/2006/relationships/control" Target="../activeX/activeX110.xml"/><Relationship Id="rId21" Type="http://schemas.openxmlformats.org/officeDocument/2006/relationships/control" Target="../activeX/activeX119.xml"/><Relationship Id="rId7" Type="http://schemas.openxmlformats.org/officeDocument/2006/relationships/control" Target="../activeX/activeX112.xml"/><Relationship Id="rId12" Type="http://schemas.openxmlformats.org/officeDocument/2006/relationships/image" Target="../media/image87.emf"/><Relationship Id="rId17" Type="http://schemas.openxmlformats.org/officeDocument/2006/relationships/control" Target="../activeX/activeX117.xml"/><Relationship Id="rId25" Type="http://schemas.openxmlformats.org/officeDocument/2006/relationships/control" Target="../activeX/activeX121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89.emf"/><Relationship Id="rId20" Type="http://schemas.openxmlformats.org/officeDocument/2006/relationships/image" Target="../media/image91.emf"/><Relationship Id="rId1" Type="http://schemas.openxmlformats.org/officeDocument/2006/relationships/drawing" Target="../drawings/drawing5.xml"/><Relationship Id="rId6" Type="http://schemas.openxmlformats.org/officeDocument/2006/relationships/image" Target="../media/image84.emf"/><Relationship Id="rId11" Type="http://schemas.openxmlformats.org/officeDocument/2006/relationships/control" Target="../activeX/activeX114.xml"/><Relationship Id="rId24" Type="http://schemas.openxmlformats.org/officeDocument/2006/relationships/image" Target="../media/image93.emf"/><Relationship Id="rId5" Type="http://schemas.openxmlformats.org/officeDocument/2006/relationships/control" Target="../activeX/activeX111.xml"/><Relationship Id="rId15" Type="http://schemas.openxmlformats.org/officeDocument/2006/relationships/control" Target="../activeX/activeX116.xml"/><Relationship Id="rId23" Type="http://schemas.openxmlformats.org/officeDocument/2006/relationships/control" Target="../activeX/activeX120.xml"/><Relationship Id="rId28" Type="http://schemas.openxmlformats.org/officeDocument/2006/relationships/image" Target="../media/image95.emf"/><Relationship Id="rId10" Type="http://schemas.openxmlformats.org/officeDocument/2006/relationships/image" Target="../media/image86.emf"/><Relationship Id="rId19" Type="http://schemas.openxmlformats.org/officeDocument/2006/relationships/control" Target="../activeX/activeX118.xml"/><Relationship Id="rId4" Type="http://schemas.openxmlformats.org/officeDocument/2006/relationships/image" Target="../media/image83.emf"/><Relationship Id="rId9" Type="http://schemas.openxmlformats.org/officeDocument/2006/relationships/control" Target="../activeX/activeX113.xml"/><Relationship Id="rId14" Type="http://schemas.openxmlformats.org/officeDocument/2006/relationships/image" Target="../media/image88.emf"/><Relationship Id="rId22" Type="http://schemas.openxmlformats.org/officeDocument/2006/relationships/image" Target="../media/image92.emf"/><Relationship Id="rId27" Type="http://schemas.openxmlformats.org/officeDocument/2006/relationships/control" Target="../activeX/activeX12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13" Type="http://schemas.openxmlformats.org/officeDocument/2006/relationships/control" Target="../activeX/activeX128.xml"/><Relationship Id="rId18" Type="http://schemas.openxmlformats.org/officeDocument/2006/relationships/image" Target="../media/image103.emf"/><Relationship Id="rId26" Type="http://schemas.openxmlformats.org/officeDocument/2006/relationships/image" Target="../media/image107.emf"/><Relationship Id="rId3" Type="http://schemas.openxmlformats.org/officeDocument/2006/relationships/control" Target="../activeX/activeX123.xml"/><Relationship Id="rId21" Type="http://schemas.openxmlformats.org/officeDocument/2006/relationships/control" Target="../activeX/activeX132.xml"/><Relationship Id="rId7" Type="http://schemas.openxmlformats.org/officeDocument/2006/relationships/control" Target="../activeX/activeX125.xml"/><Relationship Id="rId12" Type="http://schemas.openxmlformats.org/officeDocument/2006/relationships/image" Target="../media/image100.emf"/><Relationship Id="rId17" Type="http://schemas.openxmlformats.org/officeDocument/2006/relationships/control" Target="../activeX/activeX130.xml"/><Relationship Id="rId25" Type="http://schemas.openxmlformats.org/officeDocument/2006/relationships/control" Target="../activeX/activeX134.xml"/><Relationship Id="rId2" Type="http://schemas.openxmlformats.org/officeDocument/2006/relationships/vmlDrawing" Target="../drawings/vmlDrawing5.vml"/><Relationship Id="rId16" Type="http://schemas.openxmlformats.org/officeDocument/2006/relationships/image" Target="../media/image102.emf"/><Relationship Id="rId20" Type="http://schemas.openxmlformats.org/officeDocument/2006/relationships/image" Target="../media/image104.emf"/><Relationship Id="rId1" Type="http://schemas.openxmlformats.org/officeDocument/2006/relationships/drawing" Target="../drawings/drawing6.xml"/><Relationship Id="rId6" Type="http://schemas.openxmlformats.org/officeDocument/2006/relationships/image" Target="../media/image97.emf"/><Relationship Id="rId11" Type="http://schemas.openxmlformats.org/officeDocument/2006/relationships/control" Target="../activeX/activeX127.xml"/><Relationship Id="rId24" Type="http://schemas.openxmlformats.org/officeDocument/2006/relationships/image" Target="../media/image106.emf"/><Relationship Id="rId5" Type="http://schemas.openxmlformats.org/officeDocument/2006/relationships/control" Target="../activeX/activeX124.xml"/><Relationship Id="rId15" Type="http://schemas.openxmlformats.org/officeDocument/2006/relationships/control" Target="../activeX/activeX129.xml"/><Relationship Id="rId23" Type="http://schemas.openxmlformats.org/officeDocument/2006/relationships/control" Target="../activeX/activeX133.xml"/><Relationship Id="rId28" Type="http://schemas.openxmlformats.org/officeDocument/2006/relationships/image" Target="../media/image108.emf"/><Relationship Id="rId10" Type="http://schemas.openxmlformats.org/officeDocument/2006/relationships/image" Target="../media/image99.emf"/><Relationship Id="rId19" Type="http://schemas.openxmlformats.org/officeDocument/2006/relationships/control" Target="../activeX/activeX131.xml"/><Relationship Id="rId4" Type="http://schemas.openxmlformats.org/officeDocument/2006/relationships/image" Target="../media/image96.emf"/><Relationship Id="rId9" Type="http://schemas.openxmlformats.org/officeDocument/2006/relationships/control" Target="../activeX/activeX126.xml"/><Relationship Id="rId14" Type="http://schemas.openxmlformats.org/officeDocument/2006/relationships/image" Target="../media/image101.emf"/><Relationship Id="rId22" Type="http://schemas.openxmlformats.org/officeDocument/2006/relationships/image" Target="../media/image105.emf"/><Relationship Id="rId27" Type="http://schemas.openxmlformats.org/officeDocument/2006/relationships/control" Target="../activeX/activeX13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1.emf"/><Relationship Id="rId13" Type="http://schemas.openxmlformats.org/officeDocument/2006/relationships/control" Target="../activeX/activeX141.xml"/><Relationship Id="rId18" Type="http://schemas.openxmlformats.org/officeDocument/2006/relationships/image" Target="../media/image116.emf"/><Relationship Id="rId26" Type="http://schemas.openxmlformats.org/officeDocument/2006/relationships/image" Target="../media/image120.emf"/><Relationship Id="rId3" Type="http://schemas.openxmlformats.org/officeDocument/2006/relationships/control" Target="../activeX/activeX136.xml"/><Relationship Id="rId21" Type="http://schemas.openxmlformats.org/officeDocument/2006/relationships/control" Target="../activeX/activeX145.xml"/><Relationship Id="rId7" Type="http://schemas.openxmlformats.org/officeDocument/2006/relationships/control" Target="../activeX/activeX138.xml"/><Relationship Id="rId12" Type="http://schemas.openxmlformats.org/officeDocument/2006/relationships/image" Target="../media/image113.emf"/><Relationship Id="rId17" Type="http://schemas.openxmlformats.org/officeDocument/2006/relationships/control" Target="../activeX/activeX143.xml"/><Relationship Id="rId25" Type="http://schemas.openxmlformats.org/officeDocument/2006/relationships/control" Target="../activeX/activeX147.xml"/><Relationship Id="rId2" Type="http://schemas.openxmlformats.org/officeDocument/2006/relationships/vmlDrawing" Target="../drawings/vmlDrawing6.vml"/><Relationship Id="rId16" Type="http://schemas.openxmlformats.org/officeDocument/2006/relationships/image" Target="../media/image115.emf"/><Relationship Id="rId20" Type="http://schemas.openxmlformats.org/officeDocument/2006/relationships/image" Target="../media/image117.emf"/><Relationship Id="rId1" Type="http://schemas.openxmlformats.org/officeDocument/2006/relationships/drawing" Target="../drawings/drawing7.xml"/><Relationship Id="rId6" Type="http://schemas.openxmlformats.org/officeDocument/2006/relationships/image" Target="../media/image110.emf"/><Relationship Id="rId11" Type="http://schemas.openxmlformats.org/officeDocument/2006/relationships/control" Target="../activeX/activeX140.xml"/><Relationship Id="rId24" Type="http://schemas.openxmlformats.org/officeDocument/2006/relationships/image" Target="../media/image119.emf"/><Relationship Id="rId5" Type="http://schemas.openxmlformats.org/officeDocument/2006/relationships/control" Target="../activeX/activeX137.xml"/><Relationship Id="rId15" Type="http://schemas.openxmlformats.org/officeDocument/2006/relationships/control" Target="../activeX/activeX142.xml"/><Relationship Id="rId23" Type="http://schemas.openxmlformats.org/officeDocument/2006/relationships/control" Target="../activeX/activeX146.xml"/><Relationship Id="rId28" Type="http://schemas.openxmlformats.org/officeDocument/2006/relationships/image" Target="../media/image121.emf"/><Relationship Id="rId10" Type="http://schemas.openxmlformats.org/officeDocument/2006/relationships/image" Target="../media/image112.emf"/><Relationship Id="rId19" Type="http://schemas.openxmlformats.org/officeDocument/2006/relationships/control" Target="../activeX/activeX144.xml"/><Relationship Id="rId4" Type="http://schemas.openxmlformats.org/officeDocument/2006/relationships/image" Target="../media/image109.emf"/><Relationship Id="rId9" Type="http://schemas.openxmlformats.org/officeDocument/2006/relationships/control" Target="../activeX/activeX139.xml"/><Relationship Id="rId14" Type="http://schemas.openxmlformats.org/officeDocument/2006/relationships/image" Target="../media/image114.emf"/><Relationship Id="rId22" Type="http://schemas.openxmlformats.org/officeDocument/2006/relationships/image" Target="../media/image118.emf"/><Relationship Id="rId27" Type="http://schemas.openxmlformats.org/officeDocument/2006/relationships/control" Target="../activeX/activeX14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4.emf"/><Relationship Id="rId13" Type="http://schemas.openxmlformats.org/officeDocument/2006/relationships/control" Target="../activeX/activeX154.xml"/><Relationship Id="rId18" Type="http://schemas.openxmlformats.org/officeDocument/2006/relationships/image" Target="../media/image129.emf"/><Relationship Id="rId26" Type="http://schemas.openxmlformats.org/officeDocument/2006/relationships/image" Target="../media/image133.emf"/><Relationship Id="rId3" Type="http://schemas.openxmlformats.org/officeDocument/2006/relationships/control" Target="../activeX/activeX149.xml"/><Relationship Id="rId21" Type="http://schemas.openxmlformats.org/officeDocument/2006/relationships/control" Target="../activeX/activeX158.xml"/><Relationship Id="rId7" Type="http://schemas.openxmlformats.org/officeDocument/2006/relationships/control" Target="../activeX/activeX151.xml"/><Relationship Id="rId12" Type="http://schemas.openxmlformats.org/officeDocument/2006/relationships/image" Target="../media/image126.emf"/><Relationship Id="rId17" Type="http://schemas.openxmlformats.org/officeDocument/2006/relationships/control" Target="../activeX/activeX156.xml"/><Relationship Id="rId25" Type="http://schemas.openxmlformats.org/officeDocument/2006/relationships/control" Target="../activeX/activeX160.xml"/><Relationship Id="rId2" Type="http://schemas.openxmlformats.org/officeDocument/2006/relationships/vmlDrawing" Target="../drawings/vmlDrawing7.vml"/><Relationship Id="rId16" Type="http://schemas.openxmlformats.org/officeDocument/2006/relationships/image" Target="../media/image128.emf"/><Relationship Id="rId20" Type="http://schemas.openxmlformats.org/officeDocument/2006/relationships/image" Target="../media/image130.emf"/><Relationship Id="rId1" Type="http://schemas.openxmlformats.org/officeDocument/2006/relationships/drawing" Target="../drawings/drawing8.xml"/><Relationship Id="rId6" Type="http://schemas.openxmlformats.org/officeDocument/2006/relationships/image" Target="../media/image123.emf"/><Relationship Id="rId11" Type="http://schemas.openxmlformats.org/officeDocument/2006/relationships/control" Target="../activeX/activeX153.xml"/><Relationship Id="rId24" Type="http://schemas.openxmlformats.org/officeDocument/2006/relationships/image" Target="../media/image132.emf"/><Relationship Id="rId5" Type="http://schemas.openxmlformats.org/officeDocument/2006/relationships/control" Target="../activeX/activeX150.xml"/><Relationship Id="rId15" Type="http://schemas.openxmlformats.org/officeDocument/2006/relationships/control" Target="../activeX/activeX155.xml"/><Relationship Id="rId23" Type="http://schemas.openxmlformats.org/officeDocument/2006/relationships/control" Target="../activeX/activeX159.xml"/><Relationship Id="rId28" Type="http://schemas.openxmlformats.org/officeDocument/2006/relationships/image" Target="../media/image134.emf"/><Relationship Id="rId10" Type="http://schemas.openxmlformats.org/officeDocument/2006/relationships/image" Target="../media/image125.emf"/><Relationship Id="rId19" Type="http://schemas.openxmlformats.org/officeDocument/2006/relationships/control" Target="../activeX/activeX157.xml"/><Relationship Id="rId4" Type="http://schemas.openxmlformats.org/officeDocument/2006/relationships/image" Target="../media/image122.emf"/><Relationship Id="rId9" Type="http://schemas.openxmlformats.org/officeDocument/2006/relationships/control" Target="../activeX/activeX152.xml"/><Relationship Id="rId14" Type="http://schemas.openxmlformats.org/officeDocument/2006/relationships/image" Target="../media/image127.emf"/><Relationship Id="rId22" Type="http://schemas.openxmlformats.org/officeDocument/2006/relationships/image" Target="../media/image131.emf"/><Relationship Id="rId27" Type="http://schemas.openxmlformats.org/officeDocument/2006/relationships/control" Target="../activeX/activeX16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7.emf"/><Relationship Id="rId13" Type="http://schemas.openxmlformats.org/officeDocument/2006/relationships/control" Target="../activeX/activeX167.xml"/><Relationship Id="rId18" Type="http://schemas.openxmlformats.org/officeDocument/2006/relationships/image" Target="../media/image142.emf"/><Relationship Id="rId26" Type="http://schemas.openxmlformats.org/officeDocument/2006/relationships/image" Target="../media/image146.emf"/><Relationship Id="rId3" Type="http://schemas.openxmlformats.org/officeDocument/2006/relationships/control" Target="../activeX/activeX162.xml"/><Relationship Id="rId21" Type="http://schemas.openxmlformats.org/officeDocument/2006/relationships/control" Target="../activeX/activeX171.xml"/><Relationship Id="rId7" Type="http://schemas.openxmlformats.org/officeDocument/2006/relationships/control" Target="../activeX/activeX164.xml"/><Relationship Id="rId12" Type="http://schemas.openxmlformats.org/officeDocument/2006/relationships/image" Target="../media/image139.emf"/><Relationship Id="rId17" Type="http://schemas.openxmlformats.org/officeDocument/2006/relationships/control" Target="../activeX/activeX169.xml"/><Relationship Id="rId25" Type="http://schemas.openxmlformats.org/officeDocument/2006/relationships/control" Target="../activeX/activeX173.xml"/><Relationship Id="rId2" Type="http://schemas.openxmlformats.org/officeDocument/2006/relationships/vmlDrawing" Target="../drawings/vmlDrawing8.vml"/><Relationship Id="rId16" Type="http://schemas.openxmlformats.org/officeDocument/2006/relationships/image" Target="../media/image141.emf"/><Relationship Id="rId20" Type="http://schemas.openxmlformats.org/officeDocument/2006/relationships/image" Target="../media/image143.emf"/><Relationship Id="rId1" Type="http://schemas.openxmlformats.org/officeDocument/2006/relationships/drawing" Target="../drawings/drawing9.xml"/><Relationship Id="rId6" Type="http://schemas.openxmlformats.org/officeDocument/2006/relationships/image" Target="../media/image136.emf"/><Relationship Id="rId11" Type="http://schemas.openxmlformats.org/officeDocument/2006/relationships/control" Target="../activeX/activeX166.xml"/><Relationship Id="rId24" Type="http://schemas.openxmlformats.org/officeDocument/2006/relationships/image" Target="../media/image145.emf"/><Relationship Id="rId5" Type="http://schemas.openxmlformats.org/officeDocument/2006/relationships/control" Target="../activeX/activeX163.xml"/><Relationship Id="rId15" Type="http://schemas.openxmlformats.org/officeDocument/2006/relationships/control" Target="../activeX/activeX168.xml"/><Relationship Id="rId23" Type="http://schemas.openxmlformats.org/officeDocument/2006/relationships/control" Target="../activeX/activeX172.xml"/><Relationship Id="rId28" Type="http://schemas.openxmlformats.org/officeDocument/2006/relationships/image" Target="../media/image147.emf"/><Relationship Id="rId10" Type="http://schemas.openxmlformats.org/officeDocument/2006/relationships/image" Target="../media/image138.emf"/><Relationship Id="rId19" Type="http://schemas.openxmlformats.org/officeDocument/2006/relationships/control" Target="../activeX/activeX170.xml"/><Relationship Id="rId4" Type="http://schemas.openxmlformats.org/officeDocument/2006/relationships/image" Target="../media/image135.emf"/><Relationship Id="rId9" Type="http://schemas.openxmlformats.org/officeDocument/2006/relationships/control" Target="../activeX/activeX165.xml"/><Relationship Id="rId14" Type="http://schemas.openxmlformats.org/officeDocument/2006/relationships/image" Target="../media/image140.emf"/><Relationship Id="rId22" Type="http://schemas.openxmlformats.org/officeDocument/2006/relationships/image" Target="../media/image144.emf"/><Relationship Id="rId27" Type="http://schemas.openxmlformats.org/officeDocument/2006/relationships/control" Target="../activeX/activeX17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0.emf"/><Relationship Id="rId13" Type="http://schemas.openxmlformats.org/officeDocument/2006/relationships/control" Target="../activeX/activeX180.xml"/><Relationship Id="rId18" Type="http://schemas.openxmlformats.org/officeDocument/2006/relationships/image" Target="../media/image155.emf"/><Relationship Id="rId26" Type="http://schemas.openxmlformats.org/officeDocument/2006/relationships/image" Target="../media/image159.emf"/><Relationship Id="rId3" Type="http://schemas.openxmlformats.org/officeDocument/2006/relationships/control" Target="../activeX/activeX175.xml"/><Relationship Id="rId21" Type="http://schemas.openxmlformats.org/officeDocument/2006/relationships/control" Target="../activeX/activeX184.xml"/><Relationship Id="rId7" Type="http://schemas.openxmlformats.org/officeDocument/2006/relationships/control" Target="../activeX/activeX177.xml"/><Relationship Id="rId12" Type="http://schemas.openxmlformats.org/officeDocument/2006/relationships/image" Target="../media/image152.emf"/><Relationship Id="rId17" Type="http://schemas.openxmlformats.org/officeDocument/2006/relationships/control" Target="../activeX/activeX182.xml"/><Relationship Id="rId25" Type="http://schemas.openxmlformats.org/officeDocument/2006/relationships/control" Target="../activeX/activeX186.xml"/><Relationship Id="rId2" Type="http://schemas.openxmlformats.org/officeDocument/2006/relationships/vmlDrawing" Target="../drawings/vmlDrawing9.vml"/><Relationship Id="rId16" Type="http://schemas.openxmlformats.org/officeDocument/2006/relationships/image" Target="../media/image154.emf"/><Relationship Id="rId20" Type="http://schemas.openxmlformats.org/officeDocument/2006/relationships/image" Target="../media/image156.emf"/><Relationship Id="rId1" Type="http://schemas.openxmlformats.org/officeDocument/2006/relationships/drawing" Target="../drawings/drawing10.xml"/><Relationship Id="rId6" Type="http://schemas.openxmlformats.org/officeDocument/2006/relationships/image" Target="../media/image149.emf"/><Relationship Id="rId11" Type="http://schemas.openxmlformats.org/officeDocument/2006/relationships/control" Target="../activeX/activeX179.xml"/><Relationship Id="rId24" Type="http://schemas.openxmlformats.org/officeDocument/2006/relationships/image" Target="../media/image158.emf"/><Relationship Id="rId5" Type="http://schemas.openxmlformats.org/officeDocument/2006/relationships/control" Target="../activeX/activeX176.xml"/><Relationship Id="rId15" Type="http://schemas.openxmlformats.org/officeDocument/2006/relationships/control" Target="../activeX/activeX181.xml"/><Relationship Id="rId23" Type="http://schemas.openxmlformats.org/officeDocument/2006/relationships/control" Target="../activeX/activeX185.xml"/><Relationship Id="rId28" Type="http://schemas.openxmlformats.org/officeDocument/2006/relationships/image" Target="../media/image160.emf"/><Relationship Id="rId10" Type="http://schemas.openxmlformats.org/officeDocument/2006/relationships/image" Target="../media/image151.emf"/><Relationship Id="rId19" Type="http://schemas.openxmlformats.org/officeDocument/2006/relationships/control" Target="../activeX/activeX183.xml"/><Relationship Id="rId4" Type="http://schemas.openxmlformats.org/officeDocument/2006/relationships/image" Target="../media/image148.emf"/><Relationship Id="rId9" Type="http://schemas.openxmlformats.org/officeDocument/2006/relationships/control" Target="../activeX/activeX178.xml"/><Relationship Id="rId14" Type="http://schemas.openxmlformats.org/officeDocument/2006/relationships/image" Target="../media/image153.emf"/><Relationship Id="rId22" Type="http://schemas.openxmlformats.org/officeDocument/2006/relationships/image" Target="../media/image157.emf"/><Relationship Id="rId27" Type="http://schemas.openxmlformats.org/officeDocument/2006/relationships/control" Target="../activeX/activeX18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3.emf"/><Relationship Id="rId13" Type="http://schemas.openxmlformats.org/officeDocument/2006/relationships/control" Target="../activeX/activeX193.xml"/><Relationship Id="rId18" Type="http://schemas.openxmlformats.org/officeDocument/2006/relationships/image" Target="../media/image168.emf"/><Relationship Id="rId26" Type="http://schemas.openxmlformats.org/officeDocument/2006/relationships/image" Target="../media/image172.emf"/><Relationship Id="rId3" Type="http://schemas.openxmlformats.org/officeDocument/2006/relationships/control" Target="../activeX/activeX188.xml"/><Relationship Id="rId21" Type="http://schemas.openxmlformats.org/officeDocument/2006/relationships/control" Target="../activeX/activeX197.xml"/><Relationship Id="rId7" Type="http://schemas.openxmlformats.org/officeDocument/2006/relationships/control" Target="../activeX/activeX190.xml"/><Relationship Id="rId12" Type="http://schemas.openxmlformats.org/officeDocument/2006/relationships/image" Target="../media/image165.emf"/><Relationship Id="rId17" Type="http://schemas.openxmlformats.org/officeDocument/2006/relationships/control" Target="../activeX/activeX195.xml"/><Relationship Id="rId25" Type="http://schemas.openxmlformats.org/officeDocument/2006/relationships/control" Target="../activeX/activeX199.xml"/><Relationship Id="rId2" Type="http://schemas.openxmlformats.org/officeDocument/2006/relationships/vmlDrawing" Target="../drawings/vmlDrawing10.vml"/><Relationship Id="rId16" Type="http://schemas.openxmlformats.org/officeDocument/2006/relationships/image" Target="../media/image167.emf"/><Relationship Id="rId20" Type="http://schemas.openxmlformats.org/officeDocument/2006/relationships/image" Target="../media/image169.emf"/><Relationship Id="rId1" Type="http://schemas.openxmlformats.org/officeDocument/2006/relationships/drawing" Target="../drawings/drawing11.xml"/><Relationship Id="rId6" Type="http://schemas.openxmlformats.org/officeDocument/2006/relationships/image" Target="../media/image162.emf"/><Relationship Id="rId11" Type="http://schemas.openxmlformats.org/officeDocument/2006/relationships/control" Target="../activeX/activeX192.xml"/><Relationship Id="rId24" Type="http://schemas.openxmlformats.org/officeDocument/2006/relationships/image" Target="../media/image171.emf"/><Relationship Id="rId5" Type="http://schemas.openxmlformats.org/officeDocument/2006/relationships/control" Target="../activeX/activeX189.xml"/><Relationship Id="rId15" Type="http://schemas.openxmlformats.org/officeDocument/2006/relationships/control" Target="../activeX/activeX194.xml"/><Relationship Id="rId23" Type="http://schemas.openxmlformats.org/officeDocument/2006/relationships/control" Target="../activeX/activeX198.xml"/><Relationship Id="rId28" Type="http://schemas.openxmlformats.org/officeDocument/2006/relationships/image" Target="../media/image173.emf"/><Relationship Id="rId10" Type="http://schemas.openxmlformats.org/officeDocument/2006/relationships/image" Target="../media/image164.emf"/><Relationship Id="rId19" Type="http://schemas.openxmlformats.org/officeDocument/2006/relationships/control" Target="../activeX/activeX196.xml"/><Relationship Id="rId4" Type="http://schemas.openxmlformats.org/officeDocument/2006/relationships/image" Target="../media/image161.emf"/><Relationship Id="rId9" Type="http://schemas.openxmlformats.org/officeDocument/2006/relationships/control" Target="../activeX/activeX191.xml"/><Relationship Id="rId14" Type="http://schemas.openxmlformats.org/officeDocument/2006/relationships/image" Target="../media/image166.emf"/><Relationship Id="rId22" Type="http://schemas.openxmlformats.org/officeDocument/2006/relationships/image" Target="../media/image170.emf"/><Relationship Id="rId27" Type="http://schemas.openxmlformats.org/officeDocument/2006/relationships/control" Target="../activeX/activeX20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6.emf"/><Relationship Id="rId13" Type="http://schemas.openxmlformats.org/officeDocument/2006/relationships/control" Target="../activeX/activeX206.xml"/><Relationship Id="rId18" Type="http://schemas.openxmlformats.org/officeDocument/2006/relationships/image" Target="../media/image181.emf"/><Relationship Id="rId26" Type="http://schemas.openxmlformats.org/officeDocument/2006/relationships/image" Target="../media/image185.emf"/><Relationship Id="rId3" Type="http://schemas.openxmlformats.org/officeDocument/2006/relationships/control" Target="../activeX/activeX201.xml"/><Relationship Id="rId21" Type="http://schemas.openxmlformats.org/officeDocument/2006/relationships/control" Target="../activeX/activeX210.xml"/><Relationship Id="rId7" Type="http://schemas.openxmlformats.org/officeDocument/2006/relationships/control" Target="../activeX/activeX203.xml"/><Relationship Id="rId12" Type="http://schemas.openxmlformats.org/officeDocument/2006/relationships/image" Target="../media/image178.emf"/><Relationship Id="rId17" Type="http://schemas.openxmlformats.org/officeDocument/2006/relationships/control" Target="../activeX/activeX208.xml"/><Relationship Id="rId25" Type="http://schemas.openxmlformats.org/officeDocument/2006/relationships/control" Target="../activeX/activeX212.xml"/><Relationship Id="rId2" Type="http://schemas.openxmlformats.org/officeDocument/2006/relationships/vmlDrawing" Target="../drawings/vmlDrawing11.vml"/><Relationship Id="rId16" Type="http://schemas.openxmlformats.org/officeDocument/2006/relationships/image" Target="../media/image180.emf"/><Relationship Id="rId20" Type="http://schemas.openxmlformats.org/officeDocument/2006/relationships/image" Target="../media/image182.emf"/><Relationship Id="rId1" Type="http://schemas.openxmlformats.org/officeDocument/2006/relationships/drawing" Target="../drawings/drawing12.xml"/><Relationship Id="rId6" Type="http://schemas.openxmlformats.org/officeDocument/2006/relationships/image" Target="../media/image175.emf"/><Relationship Id="rId11" Type="http://schemas.openxmlformats.org/officeDocument/2006/relationships/control" Target="../activeX/activeX205.xml"/><Relationship Id="rId24" Type="http://schemas.openxmlformats.org/officeDocument/2006/relationships/image" Target="../media/image184.emf"/><Relationship Id="rId5" Type="http://schemas.openxmlformats.org/officeDocument/2006/relationships/control" Target="../activeX/activeX202.xml"/><Relationship Id="rId15" Type="http://schemas.openxmlformats.org/officeDocument/2006/relationships/control" Target="../activeX/activeX207.xml"/><Relationship Id="rId23" Type="http://schemas.openxmlformats.org/officeDocument/2006/relationships/control" Target="../activeX/activeX211.xml"/><Relationship Id="rId28" Type="http://schemas.openxmlformats.org/officeDocument/2006/relationships/image" Target="../media/image186.emf"/><Relationship Id="rId10" Type="http://schemas.openxmlformats.org/officeDocument/2006/relationships/image" Target="../media/image177.emf"/><Relationship Id="rId19" Type="http://schemas.openxmlformats.org/officeDocument/2006/relationships/control" Target="../activeX/activeX209.xml"/><Relationship Id="rId4" Type="http://schemas.openxmlformats.org/officeDocument/2006/relationships/image" Target="../media/image174.emf"/><Relationship Id="rId9" Type="http://schemas.openxmlformats.org/officeDocument/2006/relationships/control" Target="../activeX/activeX204.xml"/><Relationship Id="rId14" Type="http://schemas.openxmlformats.org/officeDocument/2006/relationships/image" Target="../media/image179.emf"/><Relationship Id="rId22" Type="http://schemas.openxmlformats.org/officeDocument/2006/relationships/image" Target="../media/image183.emf"/><Relationship Id="rId27" Type="http://schemas.openxmlformats.org/officeDocument/2006/relationships/control" Target="../activeX/activeX21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9.emf"/><Relationship Id="rId13" Type="http://schemas.openxmlformats.org/officeDocument/2006/relationships/control" Target="../activeX/activeX219.xml"/><Relationship Id="rId18" Type="http://schemas.openxmlformats.org/officeDocument/2006/relationships/image" Target="../media/image194.emf"/><Relationship Id="rId26" Type="http://schemas.openxmlformats.org/officeDocument/2006/relationships/image" Target="../media/image198.emf"/><Relationship Id="rId3" Type="http://schemas.openxmlformats.org/officeDocument/2006/relationships/control" Target="../activeX/activeX214.xml"/><Relationship Id="rId21" Type="http://schemas.openxmlformats.org/officeDocument/2006/relationships/control" Target="../activeX/activeX223.xml"/><Relationship Id="rId7" Type="http://schemas.openxmlformats.org/officeDocument/2006/relationships/control" Target="../activeX/activeX216.xml"/><Relationship Id="rId12" Type="http://schemas.openxmlformats.org/officeDocument/2006/relationships/image" Target="../media/image191.emf"/><Relationship Id="rId17" Type="http://schemas.openxmlformats.org/officeDocument/2006/relationships/control" Target="../activeX/activeX221.xml"/><Relationship Id="rId25" Type="http://schemas.openxmlformats.org/officeDocument/2006/relationships/control" Target="../activeX/activeX225.xml"/><Relationship Id="rId2" Type="http://schemas.openxmlformats.org/officeDocument/2006/relationships/vmlDrawing" Target="../drawings/vmlDrawing12.vml"/><Relationship Id="rId16" Type="http://schemas.openxmlformats.org/officeDocument/2006/relationships/image" Target="../media/image193.emf"/><Relationship Id="rId20" Type="http://schemas.openxmlformats.org/officeDocument/2006/relationships/image" Target="../media/image195.emf"/><Relationship Id="rId1" Type="http://schemas.openxmlformats.org/officeDocument/2006/relationships/drawing" Target="../drawings/drawing13.xml"/><Relationship Id="rId6" Type="http://schemas.openxmlformats.org/officeDocument/2006/relationships/image" Target="../media/image188.emf"/><Relationship Id="rId11" Type="http://schemas.openxmlformats.org/officeDocument/2006/relationships/control" Target="../activeX/activeX218.xml"/><Relationship Id="rId24" Type="http://schemas.openxmlformats.org/officeDocument/2006/relationships/image" Target="../media/image197.emf"/><Relationship Id="rId5" Type="http://schemas.openxmlformats.org/officeDocument/2006/relationships/control" Target="../activeX/activeX215.xml"/><Relationship Id="rId15" Type="http://schemas.openxmlformats.org/officeDocument/2006/relationships/control" Target="../activeX/activeX220.xml"/><Relationship Id="rId23" Type="http://schemas.openxmlformats.org/officeDocument/2006/relationships/control" Target="../activeX/activeX224.xml"/><Relationship Id="rId28" Type="http://schemas.openxmlformats.org/officeDocument/2006/relationships/image" Target="../media/image199.emf"/><Relationship Id="rId10" Type="http://schemas.openxmlformats.org/officeDocument/2006/relationships/image" Target="../media/image190.emf"/><Relationship Id="rId19" Type="http://schemas.openxmlformats.org/officeDocument/2006/relationships/control" Target="../activeX/activeX222.xml"/><Relationship Id="rId4" Type="http://schemas.openxmlformats.org/officeDocument/2006/relationships/image" Target="../media/image187.emf"/><Relationship Id="rId9" Type="http://schemas.openxmlformats.org/officeDocument/2006/relationships/control" Target="../activeX/activeX217.xml"/><Relationship Id="rId14" Type="http://schemas.openxmlformats.org/officeDocument/2006/relationships/image" Target="../media/image192.emf"/><Relationship Id="rId22" Type="http://schemas.openxmlformats.org/officeDocument/2006/relationships/image" Target="../media/image196.emf"/><Relationship Id="rId27" Type="http://schemas.openxmlformats.org/officeDocument/2006/relationships/control" Target="../activeX/activeX2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73"/>
  <sheetViews>
    <sheetView zoomScaleNormal="100" workbookViewId="0">
      <selection activeCell="C2" sqref="C2"/>
    </sheetView>
  </sheetViews>
  <sheetFormatPr defaultRowHeight="20.100000000000001" customHeight="1" x14ac:dyDescent="0.25"/>
  <cols>
    <col min="1" max="1" width="17.5703125" style="28" customWidth="1"/>
    <col min="2" max="2" width="17.5703125" style="17" customWidth="1"/>
    <col min="3" max="3" width="17.5703125" style="18" customWidth="1"/>
    <col min="4" max="5" width="17.5703125" style="11" customWidth="1"/>
    <col min="6" max="7" width="17.5703125" style="5" customWidth="1"/>
    <col min="8" max="8" width="17.5703125" style="20" customWidth="1"/>
    <col min="9" max="9" width="17.5703125" style="2" customWidth="1"/>
    <col min="10" max="10" width="9.140625" style="11"/>
    <col min="11" max="11" width="9.140625" style="24"/>
    <col min="12" max="12" width="10.7109375" style="20" bestFit="1" customWidth="1"/>
    <col min="13" max="13" width="9.7109375" style="25" bestFit="1" customWidth="1"/>
    <col min="14" max="14" width="9.140625" style="26"/>
    <col min="15" max="16" width="12.7109375" style="26" customWidth="1"/>
    <col min="17" max="17" width="9.140625" style="13" customWidth="1"/>
    <col min="18" max="18" width="9.140625" style="27"/>
    <col min="19" max="19" width="10.7109375" style="27" bestFit="1" customWidth="1"/>
    <col min="20" max="20" width="13.5703125" style="27" bestFit="1" customWidth="1"/>
    <col min="21" max="16384" width="9.140625" style="27"/>
  </cols>
  <sheetData>
    <row r="1" spans="1:20" s="10" customFormat="1" ht="75" customHeight="1" x14ac:dyDescent="0.25">
      <c r="A1" s="14" t="s">
        <v>21</v>
      </c>
      <c r="B1" s="15"/>
      <c r="C1" s="16" t="s">
        <v>12</v>
      </c>
      <c r="D1" s="7" t="s">
        <v>13</v>
      </c>
      <c r="E1" s="7" t="s">
        <v>14</v>
      </c>
      <c r="F1" s="3" t="s">
        <v>15</v>
      </c>
      <c r="G1" s="3" t="s">
        <v>16</v>
      </c>
      <c r="H1" s="19" t="s">
        <v>17</v>
      </c>
      <c r="I1" s="1" t="s">
        <v>18</v>
      </c>
      <c r="J1" s="8" t="s">
        <v>0</v>
      </c>
      <c r="K1" s="22" t="s">
        <v>1</v>
      </c>
      <c r="L1" s="23" t="s">
        <v>11</v>
      </c>
      <c r="M1" s="36" t="s">
        <v>2</v>
      </c>
      <c r="N1" s="37"/>
      <c r="O1" s="37" t="s">
        <v>19</v>
      </c>
      <c r="P1" s="37"/>
      <c r="Q1" s="9"/>
      <c r="R1" s="10" t="s">
        <v>20</v>
      </c>
    </row>
    <row r="2" spans="1:20" ht="20.100000000000001" customHeight="1" x14ac:dyDescent="0.25">
      <c r="C2" s="18" t="s">
        <v>67</v>
      </c>
      <c r="E2" s="12"/>
      <c r="F2" s="29" t="s">
        <v>68</v>
      </c>
      <c r="H2" s="31">
        <v>0.25934211323799999</v>
      </c>
      <c r="J2" s="11">
        <v>18.001999999999999</v>
      </c>
      <c r="K2" s="24" t="s">
        <v>59</v>
      </c>
      <c r="L2" s="20">
        <v>6140</v>
      </c>
      <c r="M2" s="25">
        <v>6120</v>
      </c>
      <c r="N2" s="26">
        <v>6160</v>
      </c>
      <c r="R2" s="27" t="s">
        <v>3</v>
      </c>
    </row>
    <row r="3" spans="1:20" ht="20.100000000000001" customHeight="1" x14ac:dyDescent="0.25">
      <c r="E3" s="12"/>
      <c r="F3" s="30"/>
      <c r="H3" s="31">
        <v>6.3764395200000001E-4</v>
      </c>
      <c r="J3" s="11">
        <v>27.988</v>
      </c>
      <c r="K3" s="24" t="s">
        <v>60</v>
      </c>
      <c r="L3" s="20">
        <v>7869</v>
      </c>
      <c r="M3" s="25">
        <v>7849</v>
      </c>
      <c r="N3" s="26">
        <v>7889</v>
      </c>
      <c r="R3" s="27" t="s">
        <v>4</v>
      </c>
      <c r="S3" s="27" t="s">
        <v>5</v>
      </c>
      <c r="T3" s="27" t="s">
        <v>6</v>
      </c>
    </row>
    <row r="4" spans="1:20" ht="20.100000000000001" customHeight="1" x14ac:dyDescent="0.25">
      <c r="E4" s="12"/>
      <c r="F4" s="30"/>
      <c r="H4" s="31">
        <v>3.6677899999999998E-7</v>
      </c>
      <c r="J4" s="11">
        <v>31.98</v>
      </c>
      <c r="K4" s="24" t="s">
        <v>61</v>
      </c>
      <c r="L4" s="20">
        <v>8471</v>
      </c>
      <c r="M4" s="25">
        <v>8460</v>
      </c>
      <c r="N4" s="26">
        <v>8480</v>
      </c>
      <c r="R4" s="27" t="s">
        <v>7</v>
      </c>
      <c r="S4" s="27">
        <v>1</v>
      </c>
      <c r="T4" s="27">
        <f>IsoCalculation(R4,S4)</f>
        <v>0.16396112278879926</v>
      </c>
    </row>
    <row r="5" spans="1:20" ht="20.100000000000001" customHeight="1" x14ac:dyDescent="0.25">
      <c r="E5" s="12"/>
      <c r="F5" s="30"/>
      <c r="J5" s="11">
        <v>43.985999999999997</v>
      </c>
      <c r="K5" s="24" t="s">
        <v>62</v>
      </c>
      <c r="L5" s="20">
        <v>10084</v>
      </c>
      <c r="M5" s="25">
        <v>10064</v>
      </c>
      <c r="N5" s="26">
        <v>10104</v>
      </c>
      <c r="R5" s="27" t="s">
        <v>8</v>
      </c>
      <c r="S5" s="27">
        <v>1</v>
      </c>
      <c r="T5" s="27">
        <f>IsoCalculation(R5,S5)</f>
        <v>10.930741519253285</v>
      </c>
    </row>
    <row r="6" spans="1:20" ht="20.100000000000001" customHeight="1" x14ac:dyDescent="0.25">
      <c r="E6" s="12"/>
      <c r="F6" s="30"/>
      <c r="J6" s="11">
        <v>44.98</v>
      </c>
      <c r="K6" s="35" t="s">
        <v>57</v>
      </c>
      <c r="L6" s="20">
        <v>10207</v>
      </c>
      <c r="M6" s="25">
        <v>10106</v>
      </c>
      <c r="N6" s="26">
        <v>10340</v>
      </c>
      <c r="R6" s="27" t="s">
        <v>9</v>
      </c>
      <c r="S6" s="27">
        <v>2</v>
      </c>
      <c r="T6" s="27">
        <f>IsoCalculation(R6,S6)</f>
        <v>1.2701096122083437E-4</v>
      </c>
    </row>
    <row r="7" spans="1:20" ht="20.100000000000001" customHeight="1" x14ac:dyDescent="0.25">
      <c r="E7" s="12"/>
      <c r="F7" s="30"/>
      <c r="J7" s="11">
        <v>49.987000000000002</v>
      </c>
      <c r="K7" s="35" t="s">
        <v>57</v>
      </c>
      <c r="L7" s="20">
        <v>10807</v>
      </c>
      <c r="M7" s="25">
        <v>10798</v>
      </c>
      <c r="N7" s="26">
        <v>10826</v>
      </c>
      <c r="R7" s="27" t="s">
        <v>10</v>
      </c>
      <c r="S7" s="27">
        <v>2</v>
      </c>
      <c r="T7" s="27">
        <f>IsoCalculation(R7,S7)</f>
        <v>2.0591136228547756E-3</v>
      </c>
    </row>
    <row r="8" spans="1:20" ht="20.100000000000001" customHeight="1" x14ac:dyDescent="0.25">
      <c r="E8" s="12"/>
      <c r="F8" s="30"/>
      <c r="G8" s="6"/>
      <c r="H8" s="21"/>
      <c r="J8" s="11">
        <v>69.076999999999998</v>
      </c>
      <c r="K8" s="35" t="s">
        <v>57</v>
      </c>
      <c r="L8" s="20">
        <v>12856</v>
      </c>
      <c r="M8" s="25">
        <v>12836</v>
      </c>
      <c r="N8" s="26">
        <v>12894</v>
      </c>
    </row>
    <row r="9" spans="1:20" ht="20.100000000000001" customHeight="1" x14ac:dyDescent="0.25">
      <c r="E9" s="12"/>
      <c r="F9" s="4"/>
      <c r="J9" s="11">
        <v>77.986000000000004</v>
      </c>
      <c r="K9" s="35" t="s">
        <v>57</v>
      </c>
      <c r="L9" s="20">
        <v>13714</v>
      </c>
      <c r="M9" s="25">
        <v>13666</v>
      </c>
      <c r="N9" s="26">
        <v>13778</v>
      </c>
    </row>
    <row r="10" spans="1:20" ht="20.100000000000001" customHeight="1" x14ac:dyDescent="0.25">
      <c r="E10" s="12"/>
      <c r="F10" s="4"/>
      <c r="J10" s="11">
        <v>83.88</v>
      </c>
      <c r="K10" s="24" t="s">
        <v>63</v>
      </c>
      <c r="L10" s="20">
        <v>14255</v>
      </c>
      <c r="M10" s="25">
        <v>14240</v>
      </c>
      <c r="N10" s="26">
        <v>14280</v>
      </c>
    </row>
    <row r="11" spans="1:20" ht="20.100000000000001" customHeight="1" x14ac:dyDescent="0.25">
      <c r="E11" s="12"/>
      <c r="F11" s="4"/>
      <c r="J11" s="11">
        <v>99.974000000000004</v>
      </c>
      <c r="K11" s="35" t="s">
        <v>57</v>
      </c>
      <c r="L11" s="20">
        <v>15642</v>
      </c>
      <c r="M11" s="25">
        <v>15611</v>
      </c>
      <c r="N11" s="26">
        <v>15688</v>
      </c>
    </row>
    <row r="12" spans="1:20" ht="20.100000000000001" customHeight="1" x14ac:dyDescent="0.25">
      <c r="A12" s="28">
        <v>26</v>
      </c>
      <c r="E12" s="12"/>
      <c r="F12" s="4"/>
      <c r="G12" s="6"/>
      <c r="H12" s="21"/>
      <c r="J12" s="11">
        <v>112.093</v>
      </c>
      <c r="K12" s="35" t="s">
        <v>57</v>
      </c>
      <c r="L12" s="20">
        <v>16614</v>
      </c>
      <c r="M12" s="25">
        <v>16600</v>
      </c>
      <c r="N12" s="26">
        <v>16622</v>
      </c>
    </row>
    <row r="13" spans="1:20" ht="20.100000000000001" customHeight="1" x14ac:dyDescent="0.25">
      <c r="E13" s="12"/>
      <c r="F13" s="4"/>
      <c r="J13" s="11">
        <v>118.967</v>
      </c>
      <c r="K13" s="35" t="s">
        <v>57</v>
      </c>
      <c r="L13" s="20">
        <v>17142</v>
      </c>
      <c r="M13" s="25">
        <v>17135</v>
      </c>
      <c r="N13" s="26">
        <v>17151</v>
      </c>
    </row>
    <row r="14" spans="1:20" ht="20.100000000000001" customHeight="1" x14ac:dyDescent="0.25">
      <c r="E14" s="12"/>
      <c r="F14" s="4"/>
      <c r="J14" s="11">
        <v>130.96100000000001</v>
      </c>
      <c r="K14" s="35" t="s">
        <v>57</v>
      </c>
      <c r="L14" s="20">
        <v>18028</v>
      </c>
      <c r="M14" s="25">
        <v>18024</v>
      </c>
      <c r="N14" s="26">
        <v>18034</v>
      </c>
    </row>
    <row r="15" spans="1:20" ht="20.100000000000001" customHeight="1" x14ac:dyDescent="0.25">
      <c r="E15" s="12"/>
      <c r="F15" s="4"/>
      <c r="J15" s="11">
        <v>148.97999999999999</v>
      </c>
      <c r="K15" s="35" t="s">
        <v>57</v>
      </c>
      <c r="L15" s="20">
        <v>19286</v>
      </c>
      <c r="M15" s="25">
        <v>19271</v>
      </c>
      <c r="N15" s="26">
        <v>19322</v>
      </c>
    </row>
    <row r="16" spans="1:20" ht="20.100000000000001" customHeight="1" x14ac:dyDescent="0.25">
      <c r="E16" s="12"/>
      <c r="F16" s="4"/>
      <c r="G16" s="6"/>
      <c r="H16" s="21"/>
      <c r="J16" s="11">
        <v>167.01599999999999</v>
      </c>
      <c r="K16" s="35" t="s">
        <v>57</v>
      </c>
      <c r="L16" s="20">
        <v>20471</v>
      </c>
      <c r="M16" s="25">
        <v>20461</v>
      </c>
      <c r="N16" s="26">
        <v>20489</v>
      </c>
    </row>
    <row r="17" spans="5:14" ht="20.100000000000001" customHeight="1" x14ac:dyDescent="0.25">
      <c r="E17" s="12"/>
      <c r="F17" s="4"/>
      <c r="J17" s="11">
        <v>249.917</v>
      </c>
      <c r="K17" s="35" t="s">
        <v>57</v>
      </c>
      <c r="L17" s="20">
        <v>25235</v>
      </c>
      <c r="M17" s="25">
        <v>25227</v>
      </c>
      <c r="N17" s="26">
        <v>25249</v>
      </c>
    </row>
    <row r="18" spans="5:14" ht="20.100000000000001" customHeight="1" x14ac:dyDescent="0.25">
      <c r="E18" s="12"/>
      <c r="F18" s="4"/>
    </row>
    <row r="19" spans="5:14" ht="20.100000000000001" customHeight="1" x14ac:dyDescent="0.25">
      <c r="E19" s="12"/>
      <c r="F19" s="4"/>
    </row>
    <row r="20" spans="5:14" ht="20.100000000000001" customHeight="1" x14ac:dyDescent="0.25">
      <c r="E20" s="12"/>
      <c r="F20" s="4"/>
    </row>
    <row r="21" spans="5:14" ht="20.100000000000001" customHeight="1" x14ac:dyDescent="0.25">
      <c r="E21" s="12"/>
      <c r="F21" s="4"/>
    </row>
    <row r="22" spans="5:14" ht="20.100000000000001" customHeight="1" x14ac:dyDescent="0.25">
      <c r="E22" s="12"/>
      <c r="F22" s="4"/>
    </row>
    <row r="23" spans="5:14" ht="20.100000000000001" customHeight="1" x14ac:dyDescent="0.25">
      <c r="E23" s="12"/>
      <c r="F23" s="4"/>
    </row>
    <row r="24" spans="5:14" ht="20.100000000000001" customHeight="1" x14ac:dyDescent="0.25">
      <c r="E24" s="12"/>
      <c r="F24" s="4"/>
    </row>
    <row r="25" spans="5:14" ht="20.100000000000001" customHeight="1" x14ac:dyDescent="0.25">
      <c r="E25" s="12"/>
      <c r="F25" s="4"/>
    </row>
    <row r="26" spans="5:14" ht="20.100000000000001" customHeight="1" x14ac:dyDescent="0.25">
      <c r="E26" s="12"/>
      <c r="F26" s="4"/>
    </row>
    <row r="27" spans="5:14" ht="20.100000000000001" customHeight="1" x14ac:dyDescent="0.25">
      <c r="E27" s="12"/>
      <c r="F27" s="4"/>
    </row>
    <row r="28" spans="5:14" ht="20.100000000000001" customHeight="1" x14ac:dyDescent="0.25">
      <c r="E28" s="12"/>
      <c r="F28" s="4"/>
    </row>
    <row r="29" spans="5:14" ht="20.100000000000001" customHeight="1" x14ac:dyDescent="0.25">
      <c r="E29" s="12"/>
      <c r="F29" s="4"/>
    </row>
    <row r="30" spans="5:14" ht="20.100000000000001" customHeight="1" x14ac:dyDescent="0.25">
      <c r="E30" s="12"/>
      <c r="F30" s="4"/>
    </row>
    <row r="31" spans="5:14" ht="20.100000000000001" customHeight="1" x14ac:dyDescent="0.25">
      <c r="E31" s="12"/>
      <c r="F31" s="4"/>
    </row>
    <row r="32" spans="5:14" ht="20.100000000000001" customHeight="1" x14ac:dyDescent="0.25">
      <c r="E32" s="12"/>
      <c r="F32" s="4"/>
    </row>
    <row r="33" spans="5:6" ht="20.100000000000001" customHeight="1" x14ac:dyDescent="0.25">
      <c r="E33" s="12"/>
      <c r="F33" s="4"/>
    </row>
    <row r="34" spans="5:6" ht="20.100000000000001" customHeight="1" x14ac:dyDescent="0.25">
      <c r="E34" s="12"/>
      <c r="F34" s="4"/>
    </row>
    <row r="35" spans="5:6" ht="20.100000000000001" customHeight="1" x14ac:dyDescent="0.25">
      <c r="E35" s="12"/>
      <c r="F35" s="4"/>
    </row>
    <row r="36" spans="5:6" ht="20.100000000000001" customHeight="1" x14ac:dyDescent="0.25">
      <c r="E36" s="12"/>
      <c r="F36" s="4"/>
    </row>
    <row r="37" spans="5:6" ht="20.100000000000001" customHeight="1" x14ac:dyDescent="0.25">
      <c r="E37" s="12"/>
      <c r="F37" s="4"/>
    </row>
    <row r="38" spans="5:6" ht="20.100000000000001" customHeight="1" x14ac:dyDescent="0.25">
      <c r="E38" s="12"/>
      <c r="F38" s="4"/>
    </row>
    <row r="39" spans="5:6" ht="20.100000000000001" customHeight="1" x14ac:dyDescent="0.25">
      <c r="E39" s="12"/>
      <c r="F39" s="4"/>
    </row>
    <row r="40" spans="5:6" ht="20.100000000000001" customHeight="1" x14ac:dyDescent="0.25">
      <c r="E40" s="12"/>
      <c r="F40" s="4"/>
    </row>
    <row r="41" spans="5:6" ht="20.100000000000001" customHeight="1" x14ac:dyDescent="0.25">
      <c r="E41" s="12"/>
      <c r="F41" s="4"/>
    </row>
    <row r="42" spans="5:6" ht="20.100000000000001" customHeight="1" x14ac:dyDescent="0.25">
      <c r="E42" s="12"/>
      <c r="F42" s="4"/>
    </row>
    <row r="43" spans="5:6" ht="20.100000000000001" customHeight="1" x14ac:dyDescent="0.25">
      <c r="E43" s="12"/>
      <c r="F43" s="4"/>
    </row>
    <row r="44" spans="5:6" ht="20.100000000000001" customHeight="1" x14ac:dyDescent="0.25">
      <c r="E44" s="12"/>
      <c r="F44" s="4"/>
    </row>
    <row r="45" spans="5:6" ht="20.100000000000001" customHeight="1" x14ac:dyDescent="0.25">
      <c r="E45" s="12"/>
      <c r="F45" s="4"/>
    </row>
    <row r="46" spans="5:6" ht="20.100000000000001" customHeight="1" x14ac:dyDescent="0.25">
      <c r="E46" s="12"/>
      <c r="F46" s="4"/>
    </row>
    <row r="47" spans="5:6" ht="20.100000000000001" customHeight="1" x14ac:dyDescent="0.25">
      <c r="E47" s="12"/>
      <c r="F47" s="4"/>
    </row>
    <row r="48" spans="5:6" ht="20.100000000000001" customHeight="1" x14ac:dyDescent="0.25">
      <c r="E48" s="12"/>
      <c r="F48" s="4"/>
    </row>
    <row r="49" spans="5:6" ht="20.100000000000001" customHeight="1" x14ac:dyDescent="0.25">
      <c r="E49" s="12"/>
      <c r="F49" s="4"/>
    </row>
    <row r="50" spans="5:6" ht="20.100000000000001" customHeight="1" x14ac:dyDescent="0.25">
      <c r="E50" s="12"/>
      <c r="F50" s="4"/>
    </row>
    <row r="51" spans="5:6" ht="20.100000000000001" customHeight="1" x14ac:dyDescent="0.25">
      <c r="E51" s="12"/>
      <c r="F51" s="4"/>
    </row>
    <row r="52" spans="5:6" ht="20.100000000000001" customHeight="1" x14ac:dyDescent="0.25">
      <c r="E52" s="12"/>
      <c r="F52" s="4"/>
    </row>
    <row r="53" spans="5:6" ht="20.100000000000001" customHeight="1" x14ac:dyDescent="0.25">
      <c r="E53" s="12"/>
      <c r="F53" s="4"/>
    </row>
    <row r="54" spans="5:6" ht="20.100000000000001" customHeight="1" x14ac:dyDescent="0.25">
      <c r="E54" s="12"/>
      <c r="F54" s="4"/>
    </row>
    <row r="55" spans="5:6" ht="20.100000000000001" customHeight="1" x14ac:dyDescent="0.25">
      <c r="E55" s="12"/>
      <c r="F55" s="4"/>
    </row>
    <row r="56" spans="5:6" ht="20.100000000000001" customHeight="1" x14ac:dyDescent="0.25">
      <c r="E56" s="12"/>
      <c r="F56" s="4"/>
    </row>
    <row r="57" spans="5:6" ht="20.100000000000001" customHeight="1" x14ac:dyDescent="0.25">
      <c r="E57" s="12"/>
      <c r="F57" s="4"/>
    </row>
    <row r="58" spans="5:6" ht="20.100000000000001" customHeight="1" x14ac:dyDescent="0.25">
      <c r="E58" s="12"/>
      <c r="F58" s="4"/>
    </row>
    <row r="59" spans="5:6" ht="20.100000000000001" customHeight="1" x14ac:dyDescent="0.25">
      <c r="E59" s="12"/>
      <c r="F59" s="4"/>
    </row>
    <row r="60" spans="5:6" ht="20.100000000000001" customHeight="1" x14ac:dyDescent="0.25">
      <c r="E60" s="12"/>
      <c r="F60" s="4"/>
    </row>
    <row r="61" spans="5:6" ht="20.100000000000001" customHeight="1" x14ac:dyDescent="0.25">
      <c r="E61" s="12"/>
      <c r="F61" s="4"/>
    </row>
    <row r="62" spans="5:6" ht="20.100000000000001" customHeight="1" x14ac:dyDescent="0.25">
      <c r="E62" s="12"/>
      <c r="F62" s="4"/>
    </row>
    <row r="63" spans="5:6" ht="20.100000000000001" customHeight="1" x14ac:dyDescent="0.25">
      <c r="E63" s="12"/>
      <c r="F63" s="4"/>
    </row>
    <row r="64" spans="5:6" ht="20.100000000000001" customHeight="1" x14ac:dyDescent="0.25">
      <c r="E64" s="12"/>
      <c r="F64" s="4"/>
    </row>
    <row r="65" spans="5:6" ht="20.100000000000001" customHeight="1" x14ac:dyDescent="0.25">
      <c r="E65" s="12"/>
      <c r="F65" s="4"/>
    </row>
    <row r="66" spans="5:6" ht="20.100000000000001" customHeight="1" x14ac:dyDescent="0.25">
      <c r="E66" s="12"/>
      <c r="F66" s="4"/>
    </row>
    <row r="67" spans="5:6" ht="20.100000000000001" customHeight="1" x14ac:dyDescent="0.25">
      <c r="E67" s="12"/>
      <c r="F67" s="4"/>
    </row>
    <row r="68" spans="5:6" ht="20.100000000000001" customHeight="1" x14ac:dyDescent="0.25">
      <c r="E68" s="12"/>
      <c r="F68" s="4"/>
    </row>
    <row r="69" spans="5:6" ht="20.100000000000001" customHeight="1" x14ac:dyDescent="0.25">
      <c r="E69" s="12"/>
      <c r="F69" s="4"/>
    </row>
    <row r="70" spans="5:6" ht="20.100000000000001" customHeight="1" x14ac:dyDescent="0.25">
      <c r="E70" s="12"/>
      <c r="F70" s="4"/>
    </row>
    <row r="71" spans="5:6" ht="20.100000000000001" customHeight="1" x14ac:dyDescent="0.25">
      <c r="E71" s="12"/>
      <c r="F71" s="4"/>
    </row>
    <row r="72" spans="5:6" ht="20.100000000000001" customHeight="1" x14ac:dyDescent="0.25">
      <c r="E72" s="12"/>
      <c r="F72" s="4"/>
    </row>
    <row r="73" spans="5:6" ht="20.100000000000001" customHeight="1" x14ac:dyDescent="0.25">
      <c r="E73" s="12"/>
      <c r="F73" s="4"/>
    </row>
  </sheetData>
  <sheetProtection formatCells="0" formatColumns="0" formatRows="0" sort="0"/>
  <dataConsolidate/>
  <mergeCells count="2">
    <mergeCell ref="M1:N1"/>
    <mergeCell ref="O1:P1"/>
  </mergeCells>
  <phoneticPr fontId="3" type="noConversion"/>
  <hyperlinks>
    <hyperlink ref="A1" r:id="rId1" display="© JZh Yang, 2012"/>
    <hyperlink ref="F2" location="'PIE(9.0-10.05)_5'!A1" display="PIE(9.0-10.05)_5"/>
  </hyperlinks>
  <pageMargins left="0.7" right="0.7" top="0.75" bottom="0.75" header="0.3" footer="0.3"/>
  <pageSetup paperSize="9" orientation="portrait" horizontalDpi="1200" verticalDpi="1200" r:id="rId2"/>
  <drawing r:id="rId3"/>
  <legacyDrawing r:id="rId4"/>
  <controls>
    <mc:AlternateContent xmlns:mc="http://schemas.openxmlformats.org/markup-compatibility/2006">
      <mc:Choice Requires="x14">
        <control shapeId="1170" r:id="rId5" name="PIOptBtn_10">
          <controlPr defaultSize="0" autoLine="0" r:id="rId6">
            <anchor moveWithCells="1" sizeWithCells="1">
              <from>
                <xdr:col>1</xdr:col>
                <xdr:colOff>933450</xdr:colOff>
                <xdr:row>16</xdr:row>
                <xdr:rowOff>57150</xdr:rowOff>
              </from>
              <to>
                <xdr:col>1</xdr:col>
                <xdr:colOff>1123950</xdr:colOff>
                <xdr:row>17</xdr:row>
                <xdr:rowOff>0</xdr:rowOff>
              </to>
            </anchor>
          </controlPr>
        </control>
      </mc:Choice>
      <mc:Fallback>
        <control shapeId="1170" r:id="rId5" name="PIOptBtn_10"/>
      </mc:Fallback>
    </mc:AlternateContent>
    <mc:AlternateContent xmlns:mc="http://schemas.openxmlformats.org/markup-compatibility/2006">
      <mc:Choice Requires="x14">
        <control shapeId="1169" r:id="rId7" name="XScaleOptBtn_10">
          <controlPr defaultSize="0" autoLine="0" r:id="rId6">
            <anchor moveWithCells="1" sizeWithCells="1">
              <from>
                <xdr:col>1</xdr:col>
                <xdr:colOff>685800</xdr:colOff>
                <xdr:row>16</xdr:row>
                <xdr:rowOff>57150</xdr:rowOff>
              </from>
              <to>
                <xdr:col>1</xdr:col>
                <xdr:colOff>876300</xdr:colOff>
                <xdr:row>17</xdr:row>
                <xdr:rowOff>0</xdr:rowOff>
              </to>
            </anchor>
          </controlPr>
        </control>
      </mc:Choice>
      <mc:Fallback>
        <control shapeId="1169" r:id="rId7" name="XScaleOptBtn_10"/>
      </mc:Fallback>
    </mc:AlternateContent>
    <mc:AlternateContent xmlns:mc="http://schemas.openxmlformats.org/markup-compatibility/2006">
      <mc:Choice Requires="x14">
        <control shapeId="1168" r:id="rId8" name="HL10_ComboBox">
          <controlPr defaultSize="0" autoLine="0" r:id="rId9">
            <anchor moveWithCells="1" sizeWithCells="1">
              <from>
                <xdr:col>0</xdr:col>
                <xdr:colOff>238125</xdr:colOff>
                <xdr:row>16</xdr:row>
                <xdr:rowOff>19050</xdr:rowOff>
              </from>
              <to>
                <xdr:col>1</xdr:col>
                <xdr:colOff>647700</xdr:colOff>
                <xdr:row>17</xdr:row>
                <xdr:rowOff>0</xdr:rowOff>
              </to>
            </anchor>
          </controlPr>
        </control>
      </mc:Choice>
      <mc:Fallback>
        <control shapeId="1168" r:id="rId8" name="HL10_ComboBox"/>
      </mc:Fallback>
    </mc:AlternateContent>
    <mc:AlternateContent xmlns:mc="http://schemas.openxmlformats.org/markup-compatibility/2006">
      <mc:Choice Requires="x14">
        <control shapeId="1167" r:id="rId10" name="HL10_CheckBox">
          <controlPr defaultSize="0" autoLine="0" r:id="rId11">
            <anchor moveWithCells="1" sizeWithCells="1">
              <from>
                <xdr:col>0</xdr:col>
                <xdr:colOff>28575</xdr:colOff>
                <xdr:row>16</xdr:row>
                <xdr:rowOff>57150</xdr:rowOff>
              </from>
              <to>
                <xdr:col>0</xdr:col>
                <xdr:colOff>219075</xdr:colOff>
                <xdr:row>17</xdr:row>
                <xdr:rowOff>0</xdr:rowOff>
              </to>
            </anchor>
          </controlPr>
        </control>
      </mc:Choice>
      <mc:Fallback>
        <control shapeId="1167" r:id="rId10" name="HL10_CheckBox"/>
      </mc:Fallback>
    </mc:AlternateContent>
    <mc:AlternateContent xmlns:mc="http://schemas.openxmlformats.org/markup-compatibility/2006">
      <mc:Choice Requires="x14">
        <control shapeId="1158" r:id="rId12" name="Energy_1">
          <controlPr defaultSize="0" autoLine="0" r:id="rId13">
            <anchor moveWithCells="1">
              <from>
                <xdr:col>4</xdr:col>
                <xdr:colOff>76200</xdr:colOff>
                <xdr:row>0</xdr:row>
                <xdr:rowOff>457200</xdr:rowOff>
              </from>
              <to>
                <xdr:col>4</xdr:col>
                <xdr:colOff>1104900</xdr:colOff>
                <xdr:row>0</xdr:row>
                <xdr:rowOff>685800</xdr:rowOff>
              </to>
            </anchor>
          </controlPr>
        </control>
      </mc:Choice>
      <mc:Fallback>
        <control shapeId="1158" r:id="rId12" name="Energy_1"/>
      </mc:Fallback>
    </mc:AlternateContent>
    <mc:AlternateContent xmlns:mc="http://schemas.openxmlformats.org/markup-compatibility/2006">
      <mc:Choice Requires="x14">
        <control shapeId="1157" r:id="rId14" name="Energy_0">
          <controlPr defaultSize="0" autoLine="0" r:id="rId15">
            <anchor moveWithCells="1">
              <from>
                <xdr:col>4</xdr:col>
                <xdr:colOff>76200</xdr:colOff>
                <xdr:row>0</xdr:row>
                <xdr:rowOff>247650</xdr:rowOff>
              </from>
              <to>
                <xdr:col>4</xdr:col>
                <xdr:colOff>1104900</xdr:colOff>
                <xdr:row>0</xdr:row>
                <xdr:rowOff>476250</xdr:rowOff>
              </to>
            </anchor>
          </controlPr>
        </control>
      </mc:Choice>
      <mc:Fallback>
        <control shapeId="1157" r:id="rId14" name="Energy_0"/>
      </mc:Fallback>
    </mc:AlternateContent>
    <mc:AlternateContent xmlns:mc="http://schemas.openxmlformats.org/markup-compatibility/2006">
      <mc:Choice Requires="x14">
        <control shapeId="1155" r:id="rId16" name="PIOptBtn_7">
          <controlPr defaultSize="0" autoLine="0" r:id="rId6">
            <anchor moveWithCells="1" sizeWithCells="1">
              <from>
                <xdr:col>1</xdr:col>
                <xdr:colOff>933450</xdr:colOff>
                <xdr:row>13</xdr:row>
                <xdr:rowOff>57150</xdr:rowOff>
              </from>
              <to>
                <xdr:col>1</xdr:col>
                <xdr:colOff>1123950</xdr:colOff>
                <xdr:row>14</xdr:row>
                <xdr:rowOff>0</xdr:rowOff>
              </to>
            </anchor>
          </controlPr>
        </control>
      </mc:Choice>
      <mc:Fallback>
        <control shapeId="1155" r:id="rId16" name="PIOptBtn_7"/>
      </mc:Fallback>
    </mc:AlternateContent>
    <mc:AlternateContent xmlns:mc="http://schemas.openxmlformats.org/markup-compatibility/2006">
      <mc:Choice Requires="x14">
        <control shapeId="1154" r:id="rId17" name="PIOptBtn_6">
          <controlPr defaultSize="0" autoLine="0" r:id="rId6">
            <anchor moveWithCells="1" sizeWithCells="1">
              <from>
                <xdr:col>1</xdr:col>
                <xdr:colOff>933450</xdr:colOff>
                <xdr:row>12</xdr:row>
                <xdr:rowOff>57150</xdr:rowOff>
              </from>
              <to>
                <xdr:col>1</xdr:col>
                <xdr:colOff>1123950</xdr:colOff>
                <xdr:row>13</xdr:row>
                <xdr:rowOff>0</xdr:rowOff>
              </to>
            </anchor>
          </controlPr>
        </control>
      </mc:Choice>
      <mc:Fallback>
        <control shapeId="1154" r:id="rId17" name="PIOptBtn_6"/>
      </mc:Fallback>
    </mc:AlternateContent>
    <mc:AlternateContent xmlns:mc="http://schemas.openxmlformats.org/markup-compatibility/2006">
      <mc:Choice Requires="x14">
        <control shapeId="1153" r:id="rId18" name="PIOptBtn_5">
          <controlPr defaultSize="0" autoLine="0" r:id="rId6">
            <anchor moveWithCells="1" sizeWithCells="1">
              <from>
                <xdr:col>1</xdr:col>
                <xdr:colOff>933450</xdr:colOff>
                <xdr:row>11</xdr:row>
                <xdr:rowOff>57150</xdr:rowOff>
              </from>
              <to>
                <xdr:col>1</xdr:col>
                <xdr:colOff>1123950</xdr:colOff>
                <xdr:row>12</xdr:row>
                <xdr:rowOff>0</xdr:rowOff>
              </to>
            </anchor>
          </controlPr>
        </control>
      </mc:Choice>
      <mc:Fallback>
        <control shapeId="1153" r:id="rId18" name="PIOptBtn_5"/>
      </mc:Fallback>
    </mc:AlternateContent>
    <mc:AlternateContent xmlns:mc="http://schemas.openxmlformats.org/markup-compatibility/2006">
      <mc:Choice Requires="x14">
        <control shapeId="1152" r:id="rId19" name="PIOptBtn_4">
          <controlPr defaultSize="0" autoLine="0" r:id="rId6">
            <anchor moveWithCells="1" sizeWithCells="1">
              <from>
                <xdr:col>1</xdr:col>
                <xdr:colOff>933450</xdr:colOff>
                <xdr:row>10</xdr:row>
                <xdr:rowOff>47625</xdr:rowOff>
              </from>
              <to>
                <xdr:col>1</xdr:col>
                <xdr:colOff>1123950</xdr:colOff>
                <xdr:row>10</xdr:row>
                <xdr:rowOff>238125</xdr:rowOff>
              </to>
            </anchor>
          </controlPr>
        </control>
      </mc:Choice>
      <mc:Fallback>
        <control shapeId="1152" r:id="rId19" name="PIOptBtn_4"/>
      </mc:Fallback>
    </mc:AlternateContent>
    <mc:AlternateContent xmlns:mc="http://schemas.openxmlformats.org/markup-compatibility/2006">
      <mc:Choice Requires="x14">
        <control shapeId="1151" r:id="rId20" name="PIOptBtn_3">
          <controlPr defaultSize="0" autoLine="0" r:id="rId21">
            <anchor moveWithCells="1" sizeWithCells="1">
              <from>
                <xdr:col>1</xdr:col>
                <xdr:colOff>933450</xdr:colOff>
                <xdr:row>9</xdr:row>
                <xdr:rowOff>47625</xdr:rowOff>
              </from>
              <to>
                <xdr:col>1</xdr:col>
                <xdr:colOff>1123950</xdr:colOff>
                <xdr:row>9</xdr:row>
                <xdr:rowOff>238125</xdr:rowOff>
              </to>
            </anchor>
          </controlPr>
        </control>
      </mc:Choice>
      <mc:Fallback>
        <control shapeId="1151" r:id="rId20" name="PIOptBtn_3"/>
      </mc:Fallback>
    </mc:AlternateContent>
    <mc:AlternateContent xmlns:mc="http://schemas.openxmlformats.org/markup-compatibility/2006">
      <mc:Choice Requires="x14">
        <control shapeId="1150" r:id="rId22" name="PIOptBtn_2">
          <controlPr defaultSize="0" autoLine="0" r:id="rId6">
            <anchor moveWithCells="1" sizeWithCells="1">
              <from>
                <xdr:col>1</xdr:col>
                <xdr:colOff>933450</xdr:colOff>
                <xdr:row>8</xdr:row>
                <xdr:rowOff>47625</xdr:rowOff>
              </from>
              <to>
                <xdr:col>1</xdr:col>
                <xdr:colOff>1123950</xdr:colOff>
                <xdr:row>8</xdr:row>
                <xdr:rowOff>238125</xdr:rowOff>
              </to>
            </anchor>
          </controlPr>
        </control>
      </mc:Choice>
      <mc:Fallback>
        <control shapeId="1150" r:id="rId22" name="PIOptBtn_2"/>
      </mc:Fallback>
    </mc:AlternateContent>
    <mc:AlternateContent xmlns:mc="http://schemas.openxmlformats.org/markup-compatibility/2006">
      <mc:Choice Requires="x14">
        <control shapeId="1149" r:id="rId23" name="PIOptBtn_1">
          <controlPr defaultSize="0" autoLine="0" r:id="rId6">
            <anchor moveWithCells="1" sizeWithCells="1">
              <from>
                <xdr:col>1</xdr:col>
                <xdr:colOff>933450</xdr:colOff>
                <xdr:row>7</xdr:row>
                <xdr:rowOff>47625</xdr:rowOff>
              </from>
              <to>
                <xdr:col>1</xdr:col>
                <xdr:colOff>1123950</xdr:colOff>
                <xdr:row>7</xdr:row>
                <xdr:rowOff>238125</xdr:rowOff>
              </to>
            </anchor>
          </controlPr>
        </control>
      </mc:Choice>
      <mc:Fallback>
        <control shapeId="1149" r:id="rId23" name="PIOptBtn_1"/>
      </mc:Fallback>
    </mc:AlternateContent>
    <mc:AlternateContent xmlns:mc="http://schemas.openxmlformats.org/markup-compatibility/2006">
      <mc:Choice Requires="x14">
        <control shapeId="1147" r:id="rId24" name="HL_Object_Init_Btn">
          <controlPr defaultSize="0" autoFill="0" autoLine="0" r:id="rId25">
            <anchor moveWithCells="1" sizeWithCells="1">
              <from>
                <xdr:col>0</xdr:col>
                <xdr:colOff>962025</xdr:colOff>
                <xdr:row>5</xdr:row>
                <xdr:rowOff>219075</xdr:rowOff>
              </from>
              <to>
                <xdr:col>1</xdr:col>
                <xdr:colOff>361950</xdr:colOff>
                <xdr:row>7</xdr:row>
                <xdr:rowOff>0</xdr:rowOff>
              </to>
            </anchor>
          </controlPr>
        </control>
      </mc:Choice>
      <mc:Fallback>
        <control shapeId="1147" r:id="rId24" name="HL_Object_Init_Btn"/>
      </mc:Fallback>
    </mc:AlternateContent>
    <mc:AlternateContent xmlns:mc="http://schemas.openxmlformats.org/markup-compatibility/2006">
      <mc:Choice Requires="x14">
        <control shapeId="1115" r:id="rId26" name="MassCali_Eqt_Label">
          <controlPr defaultSize="0" autoLine="0" r:id="rId27">
            <anchor moveWithCells="1">
              <from>
                <xdr:col>7</xdr:col>
                <xdr:colOff>57150</xdr:colOff>
                <xdr:row>0</xdr:row>
                <xdr:rowOff>400050</xdr:rowOff>
              </from>
              <to>
                <xdr:col>7</xdr:col>
                <xdr:colOff>1104900</xdr:colOff>
                <xdr:row>0</xdr:row>
                <xdr:rowOff>600075</xdr:rowOff>
              </to>
            </anchor>
          </controlPr>
        </control>
      </mc:Choice>
      <mc:Fallback>
        <control shapeId="1115" r:id="rId26" name="MassCali_Eqt_Label"/>
      </mc:Fallback>
    </mc:AlternateContent>
    <mc:AlternateContent xmlns:mc="http://schemas.openxmlformats.org/markup-compatibility/2006">
      <mc:Choice Requires="x14">
        <control shapeId="1114" r:id="rId28" name="MassCali_C_Label">
          <controlPr defaultSize="0" autoLine="0" autoPict="0" r:id="rId29">
            <anchor moveWithCells="1">
              <from>
                <xdr:col>7</xdr:col>
                <xdr:colOff>57150</xdr:colOff>
                <xdr:row>3</xdr:row>
                <xdr:rowOff>38100</xdr:rowOff>
              </from>
              <to>
                <xdr:col>7</xdr:col>
                <xdr:colOff>285750</xdr:colOff>
                <xdr:row>3</xdr:row>
                <xdr:rowOff>238125</xdr:rowOff>
              </to>
            </anchor>
          </controlPr>
        </control>
      </mc:Choice>
      <mc:Fallback>
        <control shapeId="1114" r:id="rId28" name="MassCali_C_Label"/>
      </mc:Fallback>
    </mc:AlternateContent>
    <mc:AlternateContent xmlns:mc="http://schemas.openxmlformats.org/markup-compatibility/2006">
      <mc:Choice Requires="x14">
        <control shapeId="1113" r:id="rId30" name="MassCali_B_Label">
          <controlPr defaultSize="0" autoLine="0" r:id="rId31">
            <anchor moveWithCells="1">
              <from>
                <xdr:col>7</xdr:col>
                <xdr:colOff>57150</xdr:colOff>
                <xdr:row>2</xdr:row>
                <xdr:rowOff>38100</xdr:rowOff>
              </from>
              <to>
                <xdr:col>7</xdr:col>
                <xdr:colOff>285750</xdr:colOff>
                <xdr:row>2</xdr:row>
                <xdr:rowOff>238125</xdr:rowOff>
              </to>
            </anchor>
          </controlPr>
        </control>
      </mc:Choice>
      <mc:Fallback>
        <control shapeId="1113" r:id="rId30" name="MassCali_B_Label"/>
      </mc:Fallback>
    </mc:AlternateContent>
    <mc:AlternateContent xmlns:mc="http://schemas.openxmlformats.org/markup-compatibility/2006">
      <mc:Choice Requires="x14">
        <control shapeId="1112" r:id="rId32" name="MassCali_A_Label">
          <controlPr defaultSize="0" autoLine="0" r:id="rId33">
            <anchor moveWithCells="1">
              <from>
                <xdr:col>7</xdr:col>
                <xdr:colOff>57150</xdr:colOff>
                <xdr:row>1</xdr:row>
                <xdr:rowOff>38100</xdr:rowOff>
              </from>
              <to>
                <xdr:col>7</xdr:col>
                <xdr:colOff>285750</xdr:colOff>
                <xdr:row>1</xdr:row>
                <xdr:rowOff>238125</xdr:rowOff>
              </to>
            </anchor>
          </controlPr>
        </control>
      </mc:Choice>
      <mc:Fallback>
        <control shapeId="1112" r:id="rId32" name="MassCali_A_Label"/>
      </mc:Fallback>
    </mc:AlternateContent>
    <mc:AlternateContent xmlns:mc="http://schemas.openxmlformats.org/markup-compatibility/2006">
      <mc:Choice Requires="x14">
        <control shapeId="1111" r:id="rId34" name="MassCaliFile_1">
          <controlPr defaultSize="0" autoLine="0" r:id="rId35">
            <anchor moveWithCells="1">
              <from>
                <xdr:col>6</xdr:col>
                <xdr:colOff>66675</xdr:colOff>
                <xdr:row>0</xdr:row>
                <xdr:rowOff>457200</xdr:rowOff>
              </from>
              <to>
                <xdr:col>6</xdr:col>
                <xdr:colOff>1095375</xdr:colOff>
                <xdr:row>0</xdr:row>
                <xdr:rowOff>914400</xdr:rowOff>
              </to>
            </anchor>
          </controlPr>
        </control>
      </mc:Choice>
      <mc:Fallback>
        <control shapeId="1111" r:id="rId34" name="MassCaliFile_1"/>
      </mc:Fallback>
    </mc:AlternateContent>
    <mc:AlternateContent xmlns:mc="http://schemas.openxmlformats.org/markup-compatibility/2006">
      <mc:Choice Requires="x14">
        <control shapeId="1110" r:id="rId36" name="MassCaliFile_0">
          <controlPr defaultSize="0" autoLine="0" r:id="rId37">
            <anchor moveWithCells="1">
              <from>
                <xdr:col>6</xdr:col>
                <xdr:colOff>66675</xdr:colOff>
                <xdr:row>0</xdr:row>
                <xdr:rowOff>247650</xdr:rowOff>
              </from>
              <to>
                <xdr:col>6</xdr:col>
                <xdr:colOff>1095375</xdr:colOff>
                <xdr:row>0</xdr:row>
                <xdr:rowOff>476250</xdr:rowOff>
              </to>
            </anchor>
          </controlPr>
        </control>
      </mc:Choice>
      <mc:Fallback>
        <control shapeId="1110" r:id="rId36" name="MassCaliFile_0"/>
      </mc:Fallback>
    </mc:AlternateContent>
    <mc:AlternateContent xmlns:mc="http://schemas.openxmlformats.org/markup-compatibility/2006">
      <mc:Choice Requires="x14">
        <control shapeId="1108" r:id="rId38" name="MassDigit_Label">
          <controlPr defaultSize="0" autoLine="0" r:id="rId39">
            <anchor moveWithCells="1">
              <from>
                <xdr:col>1</xdr:col>
                <xdr:colOff>85725</xdr:colOff>
                <xdr:row>23</xdr:row>
                <xdr:rowOff>38100</xdr:rowOff>
              </from>
              <to>
                <xdr:col>1</xdr:col>
                <xdr:colOff>1123950</xdr:colOff>
                <xdr:row>23</xdr:row>
                <xdr:rowOff>238125</xdr:rowOff>
              </to>
            </anchor>
          </controlPr>
        </control>
      </mc:Choice>
      <mc:Fallback>
        <control shapeId="1108" r:id="rId38" name="MassDigit_Label"/>
      </mc:Fallback>
    </mc:AlternateContent>
    <mc:AlternateContent xmlns:mc="http://schemas.openxmlformats.org/markup-compatibility/2006">
      <mc:Choice Requires="x14">
        <control shapeId="1107" r:id="rId40" name="IsoSub_Label">
          <controlPr defaultSize="0" autoLine="0" r:id="rId41">
            <anchor moveWithCells="1">
              <from>
                <xdr:col>0</xdr:col>
                <xdr:colOff>66675</xdr:colOff>
                <xdr:row>23</xdr:row>
                <xdr:rowOff>38100</xdr:rowOff>
              </from>
              <to>
                <xdr:col>0</xdr:col>
                <xdr:colOff>1104900</xdr:colOff>
                <xdr:row>23</xdr:row>
                <xdr:rowOff>238125</xdr:rowOff>
              </to>
            </anchor>
          </controlPr>
        </control>
      </mc:Choice>
      <mc:Fallback>
        <control shapeId="1107" r:id="rId40" name="IsoSub_Label"/>
      </mc:Fallback>
    </mc:AlternateContent>
    <mc:AlternateContent xmlns:mc="http://schemas.openxmlformats.org/markup-compatibility/2006">
      <mc:Choice Requires="x14">
        <control shapeId="1106" r:id="rId42" name="PICorrection_Label">
          <controlPr defaultSize="0" autoLine="0" r:id="rId43">
            <anchor moveWithCells="1">
              <from>
                <xdr:col>1</xdr:col>
                <xdr:colOff>85725</xdr:colOff>
                <xdr:row>19</xdr:row>
                <xdr:rowOff>38100</xdr:rowOff>
              </from>
              <to>
                <xdr:col>1</xdr:col>
                <xdr:colOff>1095375</xdr:colOff>
                <xdr:row>19</xdr:row>
                <xdr:rowOff>238125</xdr:rowOff>
              </to>
            </anchor>
          </controlPr>
        </control>
      </mc:Choice>
      <mc:Fallback>
        <control shapeId="1106" r:id="rId42" name="PICorrection_Label"/>
      </mc:Fallback>
    </mc:AlternateContent>
    <mc:AlternateContent xmlns:mc="http://schemas.openxmlformats.org/markup-compatibility/2006">
      <mc:Choice Requires="x14">
        <control shapeId="1105" r:id="rId44" name="Normalization_Label">
          <controlPr defaultSize="0" autoLine="0" r:id="rId45">
            <anchor moveWithCells="1">
              <from>
                <xdr:col>0</xdr:col>
                <xdr:colOff>95250</xdr:colOff>
                <xdr:row>19</xdr:row>
                <xdr:rowOff>38100</xdr:rowOff>
              </from>
              <to>
                <xdr:col>0</xdr:col>
                <xdr:colOff>1104900</xdr:colOff>
                <xdr:row>19</xdr:row>
                <xdr:rowOff>238125</xdr:rowOff>
              </to>
            </anchor>
          </controlPr>
        </control>
      </mc:Choice>
      <mc:Fallback>
        <control shapeId="1105" r:id="rId44" name="Normalization_Label"/>
      </mc:Fallback>
    </mc:AlternateContent>
    <mc:AlternateContent xmlns:mc="http://schemas.openxmlformats.org/markup-compatibility/2006">
      <mc:Choice Requires="x14">
        <control shapeId="1103" r:id="rId46" name="Mode_Label">
          <controlPr defaultSize="0" autoLine="0" r:id="rId47">
            <anchor moveWithCells="1">
              <from>
                <xdr:col>1</xdr:col>
                <xdr:colOff>85725</xdr:colOff>
                <xdr:row>1</xdr:row>
                <xdr:rowOff>38100</xdr:rowOff>
              </from>
              <to>
                <xdr:col>1</xdr:col>
                <xdr:colOff>1095375</xdr:colOff>
                <xdr:row>1</xdr:row>
                <xdr:rowOff>238125</xdr:rowOff>
              </to>
            </anchor>
          </controlPr>
        </control>
      </mc:Choice>
      <mc:Fallback>
        <control shapeId="1103" r:id="rId46" name="Mode_Label"/>
      </mc:Fallback>
    </mc:AlternateContent>
    <mc:AlternateContent xmlns:mc="http://schemas.openxmlformats.org/markup-compatibility/2006">
      <mc:Choice Requires="x14">
        <control shapeId="1102" r:id="rId48" name="FileType_Label">
          <controlPr defaultSize="0" autoLine="0" r:id="rId49">
            <anchor moveWithCells="1">
              <from>
                <xdr:col>0</xdr:col>
                <xdr:colOff>95250</xdr:colOff>
                <xdr:row>1</xdr:row>
                <xdr:rowOff>38100</xdr:rowOff>
              </from>
              <to>
                <xdr:col>0</xdr:col>
                <xdr:colOff>1104900</xdr:colOff>
                <xdr:row>1</xdr:row>
                <xdr:rowOff>238125</xdr:rowOff>
              </to>
            </anchor>
          </controlPr>
        </control>
      </mc:Choice>
      <mc:Fallback>
        <control shapeId="1102" r:id="rId48" name="FileType_Label"/>
      </mc:Fallback>
    </mc:AlternateContent>
    <mc:AlternateContent xmlns:mc="http://schemas.openxmlformats.org/markup-compatibility/2006">
      <mc:Choice Requires="x14">
        <control shapeId="1098" r:id="rId50" name="PIFile_2">
          <controlPr defaultSize="0" autoLine="0" r:id="rId51">
            <anchor moveWithCells="1">
              <from>
                <xdr:col>3</xdr:col>
                <xdr:colOff>57150</xdr:colOff>
                <xdr:row>0</xdr:row>
                <xdr:rowOff>666750</xdr:rowOff>
              </from>
              <to>
                <xdr:col>4</xdr:col>
                <xdr:colOff>19050</xdr:colOff>
                <xdr:row>0</xdr:row>
                <xdr:rowOff>895350</xdr:rowOff>
              </to>
            </anchor>
          </controlPr>
        </control>
      </mc:Choice>
      <mc:Fallback>
        <control shapeId="1098" r:id="rId50" name="PIFile_2"/>
      </mc:Fallback>
    </mc:AlternateContent>
    <mc:AlternateContent xmlns:mc="http://schemas.openxmlformats.org/markup-compatibility/2006">
      <mc:Choice Requires="x14">
        <control shapeId="1095" r:id="rId52" name="InitializeBtn">
          <controlPr defaultSize="0" autoLine="0" r:id="rId53">
            <anchor moveWithCells="1">
              <from>
                <xdr:col>1</xdr:col>
                <xdr:colOff>85725</xdr:colOff>
                <xdr:row>0</xdr:row>
                <xdr:rowOff>228600</xdr:rowOff>
              </from>
              <to>
                <xdr:col>1</xdr:col>
                <xdr:colOff>1076325</xdr:colOff>
                <xdr:row>0</xdr:row>
                <xdr:rowOff>504825</xdr:rowOff>
              </to>
            </anchor>
          </controlPr>
        </control>
      </mc:Choice>
      <mc:Fallback>
        <control shapeId="1095" r:id="rId52" name="InitializeBtn"/>
      </mc:Fallback>
    </mc:AlternateContent>
    <mc:AlternateContent xmlns:mc="http://schemas.openxmlformats.org/markup-compatibility/2006">
      <mc:Choice Requires="x14">
        <control shapeId="1088" r:id="rId54" name="All_Im_Cal">
          <controlPr defaultSize="0" autoFill="0" autoLine="0" r:id="rId55">
            <anchor moveWithCells="1">
              <from>
                <xdr:col>1</xdr:col>
                <xdr:colOff>85725</xdr:colOff>
                <xdr:row>0</xdr:row>
                <xdr:rowOff>609600</xdr:rowOff>
              </from>
              <to>
                <xdr:col>1</xdr:col>
                <xdr:colOff>1076325</xdr:colOff>
                <xdr:row>0</xdr:row>
                <xdr:rowOff>885825</xdr:rowOff>
              </to>
            </anchor>
          </controlPr>
        </control>
      </mc:Choice>
      <mc:Fallback>
        <control shapeId="1088" r:id="rId54" name="All_Im_Cal"/>
      </mc:Fallback>
    </mc:AlternateContent>
    <mc:AlternateContent xmlns:mc="http://schemas.openxmlformats.org/markup-compatibility/2006">
      <mc:Choice Requires="x14">
        <control shapeId="1086" r:id="rId56" name="Normalization_1">
          <controlPr defaultSize="0" autoLine="0" r:id="rId57">
            <anchor moveWithCells="1">
              <from>
                <xdr:col>0</xdr:col>
                <xdr:colOff>57150</xdr:colOff>
                <xdr:row>21</xdr:row>
                <xdr:rowOff>28575</xdr:rowOff>
              </from>
              <to>
                <xdr:col>0</xdr:col>
                <xdr:colOff>495300</xdr:colOff>
                <xdr:row>21</xdr:row>
                <xdr:rowOff>219075</xdr:rowOff>
              </to>
            </anchor>
          </controlPr>
        </control>
      </mc:Choice>
      <mc:Fallback>
        <control shapeId="1086" r:id="rId56" name="Normalization_1"/>
      </mc:Fallback>
    </mc:AlternateContent>
    <mc:AlternateContent xmlns:mc="http://schemas.openxmlformats.org/markup-compatibility/2006">
      <mc:Choice Requires="x14">
        <control shapeId="1085" r:id="rId58" name="Normalization_0">
          <controlPr defaultSize="0" autoLine="0" r:id="rId59">
            <anchor moveWithCells="1">
              <from>
                <xdr:col>0</xdr:col>
                <xdr:colOff>57150</xdr:colOff>
                <xdr:row>20</xdr:row>
                <xdr:rowOff>28575</xdr:rowOff>
              </from>
              <to>
                <xdr:col>0</xdr:col>
                <xdr:colOff>495300</xdr:colOff>
                <xdr:row>20</xdr:row>
                <xdr:rowOff>219075</xdr:rowOff>
              </to>
            </anchor>
          </controlPr>
        </control>
      </mc:Choice>
      <mc:Fallback>
        <control shapeId="1085" r:id="rId58" name="Normalization_0"/>
      </mc:Fallback>
    </mc:AlternateContent>
    <mc:AlternateContent xmlns:mc="http://schemas.openxmlformats.org/markup-compatibility/2006">
      <mc:Choice Requires="x14">
        <control shapeId="1084" r:id="rId60" name="PICorrection_1">
          <controlPr defaultSize="0" autoLine="0" r:id="rId61">
            <anchor moveWithCells="1">
              <from>
                <xdr:col>1</xdr:col>
                <xdr:colOff>57150</xdr:colOff>
                <xdr:row>21</xdr:row>
                <xdr:rowOff>28575</xdr:rowOff>
              </from>
              <to>
                <xdr:col>1</xdr:col>
                <xdr:colOff>495300</xdr:colOff>
                <xdr:row>21</xdr:row>
                <xdr:rowOff>219075</xdr:rowOff>
              </to>
            </anchor>
          </controlPr>
        </control>
      </mc:Choice>
      <mc:Fallback>
        <control shapeId="1084" r:id="rId60" name="PICorrection_1"/>
      </mc:Fallback>
    </mc:AlternateContent>
    <mc:AlternateContent xmlns:mc="http://schemas.openxmlformats.org/markup-compatibility/2006">
      <mc:Choice Requires="x14">
        <control shapeId="1083" r:id="rId62" name="PICorrection_0">
          <controlPr defaultSize="0" autoLine="0" r:id="rId63">
            <anchor moveWithCells="1">
              <from>
                <xdr:col>1</xdr:col>
                <xdr:colOff>57150</xdr:colOff>
                <xdr:row>20</xdr:row>
                <xdr:rowOff>28575</xdr:rowOff>
              </from>
              <to>
                <xdr:col>1</xdr:col>
                <xdr:colOff>495300</xdr:colOff>
                <xdr:row>20</xdr:row>
                <xdr:rowOff>219075</xdr:rowOff>
              </to>
            </anchor>
          </controlPr>
        </control>
      </mc:Choice>
      <mc:Fallback>
        <control shapeId="1083" r:id="rId62" name="PICorrection_0"/>
      </mc:Fallback>
    </mc:AlternateContent>
    <mc:AlternateContent xmlns:mc="http://schemas.openxmlformats.org/markup-compatibility/2006">
      <mc:Choice Requires="x14">
        <control shapeId="1079" r:id="rId64" name="Mode_1">
          <controlPr defaultSize="0" autoLine="0" autoPict="0" r:id="rId65">
            <anchor moveWithCells="1">
              <from>
                <xdr:col>1</xdr:col>
                <xdr:colOff>57150</xdr:colOff>
                <xdr:row>3</xdr:row>
                <xdr:rowOff>19050</xdr:rowOff>
              </from>
              <to>
                <xdr:col>2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079" r:id="rId64" name="Mode_1"/>
      </mc:Fallback>
    </mc:AlternateContent>
    <mc:AlternateContent xmlns:mc="http://schemas.openxmlformats.org/markup-compatibility/2006">
      <mc:Choice Requires="x14">
        <control shapeId="1075" r:id="rId66" name="FileType_1">
          <controlPr defaultSize="0" autoLine="0" autoPict="0" r:id="rId67">
            <anchor moveWithCells="1">
              <from>
                <xdr:col>0</xdr:col>
                <xdr:colOff>57150</xdr:colOff>
                <xdr:row>3</xdr:row>
                <xdr:rowOff>19050</xdr:rowOff>
              </from>
              <to>
                <xdr:col>0</xdr:col>
                <xdr:colOff>800100</xdr:colOff>
                <xdr:row>3</xdr:row>
                <xdr:rowOff>209550</xdr:rowOff>
              </to>
            </anchor>
          </controlPr>
        </control>
      </mc:Choice>
      <mc:Fallback>
        <control shapeId="1075" r:id="rId66" name="FileType_1"/>
      </mc:Fallback>
    </mc:AlternateContent>
    <mc:AlternateContent xmlns:mc="http://schemas.openxmlformats.org/markup-compatibility/2006">
      <mc:Choice Requires="x14">
        <control shapeId="1074" r:id="rId68" name="FileType_0">
          <controlPr defaultSize="0" autoLine="0" r:id="rId69">
            <anchor moveWithCells="1">
              <from>
                <xdr:col>0</xdr:col>
                <xdr:colOff>57150</xdr:colOff>
                <xdr:row>2</xdr:row>
                <xdr:rowOff>19050</xdr:rowOff>
              </from>
              <to>
                <xdr:col>0</xdr:col>
                <xdr:colOff>800100</xdr:colOff>
                <xdr:row>2</xdr:row>
                <xdr:rowOff>209550</xdr:rowOff>
              </to>
            </anchor>
          </controlPr>
        </control>
      </mc:Choice>
      <mc:Fallback>
        <control shapeId="1074" r:id="rId68" name="FileType_0"/>
      </mc:Fallback>
    </mc:AlternateContent>
    <mc:AlternateContent xmlns:mc="http://schemas.openxmlformats.org/markup-compatibility/2006">
      <mc:Choice Requires="x14">
        <control shapeId="1065" r:id="rId70" name="ResultShtName_1">
          <controlPr defaultSize="0" autoLine="0" r:id="rId71">
            <anchor moveWithCells="1">
              <from>
                <xdr:col>5</xdr:col>
                <xdr:colOff>57150</xdr:colOff>
                <xdr:row>0</xdr:row>
                <xdr:rowOff>457200</xdr:rowOff>
              </from>
              <to>
                <xdr:col>5</xdr:col>
                <xdr:colOff>1085850</xdr:colOff>
                <xdr:row>0</xdr:row>
                <xdr:rowOff>685800</xdr:rowOff>
              </to>
            </anchor>
          </controlPr>
        </control>
      </mc:Choice>
      <mc:Fallback>
        <control shapeId="1065" r:id="rId70" name="ResultShtName_1"/>
      </mc:Fallback>
    </mc:AlternateContent>
    <mc:AlternateContent xmlns:mc="http://schemas.openxmlformats.org/markup-compatibility/2006">
      <mc:Choice Requires="x14">
        <control shapeId="1062" r:id="rId72" name="Mode_0">
          <controlPr defaultSize="0" autoLine="0" r:id="rId73">
            <anchor moveWithCells="1">
              <from>
                <xdr:col>1</xdr:col>
                <xdr:colOff>57150</xdr:colOff>
                <xdr:row>2</xdr:row>
                <xdr:rowOff>19050</xdr:rowOff>
              </from>
              <to>
                <xdr:col>2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1062" r:id="rId72" name="Mode_0"/>
      </mc:Fallback>
    </mc:AlternateContent>
    <mc:AlternateContent xmlns:mc="http://schemas.openxmlformats.org/markup-compatibility/2006">
      <mc:Choice Requires="x14">
        <control shapeId="1059" r:id="rId74" name="ResultShtName_0">
          <controlPr defaultSize="0" autoLine="0" r:id="rId75">
            <anchor moveWithCells="1">
              <from>
                <xdr:col>5</xdr:col>
                <xdr:colOff>57150</xdr:colOff>
                <xdr:row>0</xdr:row>
                <xdr:rowOff>247650</xdr:rowOff>
              </from>
              <to>
                <xdr:col>5</xdr:col>
                <xdr:colOff>1085850</xdr:colOff>
                <xdr:row>0</xdr:row>
                <xdr:rowOff>476250</xdr:rowOff>
              </to>
            </anchor>
          </controlPr>
        </control>
      </mc:Choice>
      <mc:Fallback>
        <control shapeId="1059" r:id="rId74" name="ResultShtName_0"/>
      </mc:Fallback>
    </mc:AlternateContent>
    <mc:AlternateContent xmlns:mc="http://schemas.openxmlformats.org/markup-compatibility/2006">
      <mc:Choice Requires="x14">
        <control shapeId="1056" r:id="rId76" name="PIFile_1">
          <controlPr defaultSize="0" autoLine="0" r:id="rId77">
            <anchor moveWithCells="1">
              <from>
                <xdr:col>3</xdr:col>
                <xdr:colOff>57150</xdr:colOff>
                <xdr:row>0</xdr:row>
                <xdr:rowOff>457200</xdr:rowOff>
              </from>
              <to>
                <xdr:col>4</xdr:col>
                <xdr:colOff>19050</xdr:colOff>
                <xdr:row>0</xdr:row>
                <xdr:rowOff>685800</xdr:rowOff>
              </to>
            </anchor>
          </controlPr>
        </control>
      </mc:Choice>
      <mc:Fallback>
        <control shapeId="1056" r:id="rId76" name="PIFile_1"/>
      </mc:Fallback>
    </mc:AlternateContent>
    <mc:AlternateContent xmlns:mc="http://schemas.openxmlformats.org/markup-compatibility/2006">
      <mc:Choice Requires="x14">
        <control shapeId="1055" r:id="rId78" name="PIFile_0">
          <controlPr defaultSize="0" autoLine="0" r:id="rId79">
            <anchor moveWithCells="1">
              <from>
                <xdr:col>3</xdr:col>
                <xdr:colOff>57150</xdr:colOff>
                <xdr:row>0</xdr:row>
                <xdr:rowOff>247650</xdr:rowOff>
              </from>
              <to>
                <xdr:col>4</xdr:col>
                <xdr:colOff>19050</xdr:colOff>
                <xdr:row>0</xdr:row>
                <xdr:rowOff>476250</xdr:rowOff>
              </to>
            </anchor>
          </controlPr>
        </control>
      </mc:Choice>
      <mc:Fallback>
        <control shapeId="1055" r:id="rId78" name="PIFile_0"/>
      </mc:Fallback>
    </mc:AlternateContent>
    <mc:AlternateContent xmlns:mc="http://schemas.openxmlformats.org/markup-compatibility/2006">
      <mc:Choice Requires="x14">
        <control shapeId="1096" r:id="rId80" name="RangeFile_0">
          <controlPr defaultSize="0" autoLine="0" r:id="rId81">
            <anchor moveWithCells="1">
              <from>
                <xdr:col>8</xdr:col>
                <xdr:colOff>76200</xdr:colOff>
                <xdr:row>0</xdr:row>
                <xdr:rowOff>247650</xdr:rowOff>
              </from>
              <to>
                <xdr:col>8</xdr:col>
                <xdr:colOff>1104900</xdr:colOff>
                <xdr:row>0</xdr:row>
                <xdr:rowOff>476250</xdr:rowOff>
              </to>
            </anchor>
          </controlPr>
        </control>
      </mc:Choice>
      <mc:Fallback>
        <control shapeId="1096" r:id="rId80" name="RangeFile_0"/>
      </mc:Fallback>
    </mc:AlternateContent>
    <mc:AlternateContent xmlns:mc="http://schemas.openxmlformats.org/markup-compatibility/2006">
      <mc:Choice Requires="x14">
        <control shapeId="1097" r:id="rId82" name="RangeFile_1">
          <controlPr defaultSize="0" autoLine="0" r:id="rId83">
            <anchor moveWithCells="1">
              <from>
                <xdr:col>8</xdr:col>
                <xdr:colOff>76200</xdr:colOff>
                <xdr:row>0</xdr:row>
                <xdr:rowOff>447675</xdr:rowOff>
              </from>
              <to>
                <xdr:col>8</xdr:col>
                <xdr:colOff>1104900</xdr:colOff>
                <xdr:row>0</xdr:row>
                <xdr:rowOff>904875</xdr:rowOff>
              </to>
            </anchor>
          </controlPr>
        </control>
      </mc:Choice>
      <mc:Fallback>
        <control shapeId="1097" r:id="rId82" name="RangeFile_1"/>
      </mc:Fallback>
    </mc:AlternateContent>
    <mc:AlternateContent xmlns:mc="http://schemas.openxmlformats.org/markup-compatibility/2006">
      <mc:Choice Requires="x14">
        <control shapeId="1099" r:id="rId84" name="IsoSub_0">
          <controlPr defaultSize="0" autoLine="0" r:id="rId85">
            <anchor moveWithCells="1">
              <from>
                <xdr:col>0</xdr:col>
                <xdr:colOff>57150</xdr:colOff>
                <xdr:row>24</xdr:row>
                <xdr:rowOff>28575</xdr:rowOff>
              </from>
              <to>
                <xdr:col>0</xdr:col>
                <xdr:colOff>495300</xdr:colOff>
                <xdr:row>24</xdr:row>
                <xdr:rowOff>219075</xdr:rowOff>
              </to>
            </anchor>
          </controlPr>
        </control>
      </mc:Choice>
      <mc:Fallback>
        <control shapeId="1099" r:id="rId84" name="IsoSub_0"/>
      </mc:Fallback>
    </mc:AlternateContent>
    <mc:AlternateContent xmlns:mc="http://schemas.openxmlformats.org/markup-compatibility/2006">
      <mc:Choice Requires="x14">
        <control shapeId="1100" r:id="rId86" name="IsoSub_1">
          <controlPr defaultSize="0" autoLine="0" r:id="rId87">
            <anchor moveWithCells="1">
              <from>
                <xdr:col>0</xdr:col>
                <xdr:colOff>57150</xdr:colOff>
                <xdr:row>25</xdr:row>
                <xdr:rowOff>28575</xdr:rowOff>
              </from>
              <to>
                <xdr:col>0</xdr:col>
                <xdr:colOff>495300</xdr:colOff>
                <xdr:row>25</xdr:row>
                <xdr:rowOff>219075</xdr:rowOff>
              </to>
            </anchor>
          </controlPr>
        </control>
      </mc:Choice>
      <mc:Fallback>
        <control shapeId="1100" r:id="rId86" name="IsoSub_1"/>
      </mc:Fallback>
    </mc:AlternateContent>
    <mc:AlternateContent xmlns:mc="http://schemas.openxmlformats.org/markup-compatibility/2006">
      <mc:Choice Requires="x14">
        <control shapeId="1101" r:id="rId88" name="MassDigit">
          <controlPr defaultSize="0" autoLine="0" r:id="rId89">
            <anchor moveWithCells="1">
              <from>
                <xdr:col>1</xdr:col>
                <xdr:colOff>85725</xdr:colOff>
                <xdr:row>24</xdr:row>
                <xdr:rowOff>19050</xdr:rowOff>
              </from>
              <to>
                <xdr:col>1</xdr:col>
                <xdr:colOff>1095375</xdr:colOff>
                <xdr:row>25</xdr:row>
                <xdr:rowOff>0</xdr:rowOff>
              </to>
            </anchor>
          </controlPr>
        </control>
      </mc:Choice>
      <mc:Fallback>
        <control shapeId="1101" r:id="rId88" name="MassDigit"/>
      </mc:Fallback>
    </mc:AlternateContent>
    <mc:AlternateContent xmlns:mc="http://schemas.openxmlformats.org/markup-compatibility/2006">
      <mc:Choice Requires="x14">
        <control shapeId="1116" r:id="rId90" name="IsoErrCheckBox">
          <controlPr defaultSize="0" autoLine="0" r:id="rId91">
            <anchor moveWithCells="1">
              <from>
                <xdr:col>0</xdr:col>
                <xdr:colOff>66675</xdr:colOff>
                <xdr:row>26</xdr:row>
                <xdr:rowOff>38100</xdr:rowOff>
              </from>
              <to>
                <xdr:col>1</xdr:col>
                <xdr:colOff>161925</xdr:colOff>
                <xdr:row>27</xdr:row>
                <xdr:rowOff>142875</xdr:rowOff>
              </to>
            </anchor>
          </controlPr>
        </control>
      </mc:Choice>
      <mc:Fallback>
        <control shapeId="1116" r:id="rId90" name="IsoErrCheckBox"/>
      </mc:Fallback>
    </mc:AlternateContent>
    <mc:AlternateContent xmlns:mc="http://schemas.openxmlformats.org/markup-compatibility/2006">
      <mc:Choice Requires="x14">
        <control shapeId="1117" r:id="rId92" name="RepeatCheckBox">
          <controlPr defaultSize="0" autoLine="0" autoPict="0" r:id="rId93">
            <anchor moveWithCells="1">
              <from>
                <xdr:col>0</xdr:col>
                <xdr:colOff>66675</xdr:colOff>
                <xdr:row>4</xdr:row>
                <xdr:rowOff>19050</xdr:rowOff>
              </from>
              <to>
                <xdr:col>0</xdr:col>
                <xdr:colOff>914400</xdr:colOff>
                <xdr:row>5</xdr:row>
                <xdr:rowOff>9525</xdr:rowOff>
              </to>
            </anchor>
          </controlPr>
        </control>
      </mc:Choice>
      <mc:Fallback>
        <control shapeId="1117" r:id="rId92" name="RepeatCheckBox"/>
      </mc:Fallback>
    </mc:AlternateContent>
    <mc:AlternateContent xmlns:mc="http://schemas.openxmlformats.org/markup-compatibility/2006">
      <mc:Choice Requires="x14">
        <control shapeId="1118" r:id="rId94" name="PIBG_Label1">
          <controlPr defaultSize="0" autoLine="0" r:id="rId95">
            <anchor moveWithCells="1">
              <from>
                <xdr:col>0</xdr:col>
                <xdr:colOff>66675</xdr:colOff>
                <xdr:row>18</xdr:row>
                <xdr:rowOff>28575</xdr:rowOff>
              </from>
              <to>
                <xdr:col>1</xdr:col>
                <xdr:colOff>38100</xdr:colOff>
                <xdr:row>18</xdr:row>
                <xdr:rowOff>228600</xdr:rowOff>
              </to>
            </anchor>
          </controlPr>
        </control>
      </mc:Choice>
      <mc:Fallback>
        <control shapeId="1118" r:id="rId94" name="PIBG_Label1"/>
      </mc:Fallback>
    </mc:AlternateContent>
    <mc:AlternateContent xmlns:mc="http://schemas.openxmlformats.org/markup-compatibility/2006">
      <mc:Choice Requires="x14">
        <control shapeId="1119" r:id="rId96" name="PIBG">
          <controlPr defaultSize="0" autoLine="0" r:id="rId97">
            <anchor moveWithCells="1">
              <from>
                <xdr:col>1</xdr:col>
                <xdr:colOff>76200</xdr:colOff>
                <xdr:row>18</xdr:row>
                <xdr:rowOff>19050</xdr:rowOff>
              </from>
              <to>
                <xdr:col>1</xdr:col>
                <xdr:colOff>1085850</xdr:colOff>
                <xdr:row>19</xdr:row>
                <xdr:rowOff>0</xdr:rowOff>
              </to>
            </anchor>
          </controlPr>
        </control>
      </mc:Choice>
      <mc:Fallback>
        <control shapeId="1119" r:id="rId96" name="PIBG"/>
      </mc:Fallback>
    </mc:AlternateContent>
    <mc:AlternateContent xmlns:mc="http://schemas.openxmlformats.org/markup-compatibility/2006">
      <mc:Choice Requires="x14">
        <control shapeId="1120" r:id="rId98" name="HL1_CheckBox">
          <controlPr defaultSize="0" autoLine="0" r:id="rId11">
            <anchor moveWithCells="1" sizeWithCells="1">
              <from>
                <xdr:col>0</xdr:col>
                <xdr:colOff>28575</xdr:colOff>
                <xdr:row>7</xdr:row>
                <xdr:rowOff>57150</xdr:rowOff>
              </from>
              <to>
                <xdr:col>0</xdr:col>
                <xdr:colOff>219075</xdr:colOff>
                <xdr:row>8</xdr:row>
                <xdr:rowOff>0</xdr:rowOff>
              </to>
            </anchor>
          </controlPr>
        </control>
      </mc:Choice>
      <mc:Fallback>
        <control shapeId="1120" r:id="rId98" name="HL1_CheckBox"/>
      </mc:Fallback>
    </mc:AlternateContent>
    <mc:AlternateContent xmlns:mc="http://schemas.openxmlformats.org/markup-compatibility/2006">
      <mc:Choice Requires="x14">
        <control shapeId="1121" r:id="rId99" name="HL2_CheckBox">
          <controlPr defaultSize="0" autoFill="0" autoLine="0" r:id="rId11">
            <anchor moveWithCells="1" sizeWithCells="1">
              <from>
                <xdr:col>0</xdr:col>
                <xdr:colOff>28575</xdr:colOff>
                <xdr:row>8</xdr:row>
                <xdr:rowOff>57150</xdr:rowOff>
              </from>
              <to>
                <xdr:col>0</xdr:col>
                <xdr:colOff>219075</xdr:colOff>
                <xdr:row>9</xdr:row>
                <xdr:rowOff>0</xdr:rowOff>
              </to>
            </anchor>
          </controlPr>
        </control>
      </mc:Choice>
      <mc:Fallback>
        <control shapeId="1121" r:id="rId99" name="HL2_CheckBox"/>
      </mc:Fallback>
    </mc:AlternateContent>
    <mc:AlternateContent xmlns:mc="http://schemas.openxmlformats.org/markup-compatibility/2006">
      <mc:Choice Requires="x14">
        <control shapeId="1122" r:id="rId100" name="HL3_CheckBox">
          <controlPr defaultSize="0" autoLine="0" r:id="rId11">
            <anchor moveWithCells="1" sizeWithCells="1">
              <from>
                <xdr:col>0</xdr:col>
                <xdr:colOff>28575</xdr:colOff>
                <xdr:row>9</xdr:row>
                <xdr:rowOff>57150</xdr:rowOff>
              </from>
              <to>
                <xdr:col>0</xdr:col>
                <xdr:colOff>219075</xdr:colOff>
                <xdr:row>10</xdr:row>
                <xdr:rowOff>0</xdr:rowOff>
              </to>
            </anchor>
          </controlPr>
        </control>
      </mc:Choice>
      <mc:Fallback>
        <control shapeId="1122" r:id="rId100" name="HL3_CheckBox"/>
      </mc:Fallback>
    </mc:AlternateContent>
    <mc:AlternateContent xmlns:mc="http://schemas.openxmlformats.org/markup-compatibility/2006">
      <mc:Choice Requires="x14">
        <control shapeId="1123" r:id="rId101" name="HL4_CheckBox">
          <controlPr defaultSize="0" autoLine="0" r:id="rId11">
            <anchor moveWithCells="1" sizeWithCells="1">
              <from>
                <xdr:col>0</xdr:col>
                <xdr:colOff>28575</xdr:colOff>
                <xdr:row>10</xdr:row>
                <xdr:rowOff>57150</xdr:rowOff>
              </from>
              <to>
                <xdr:col>0</xdr:col>
                <xdr:colOff>219075</xdr:colOff>
                <xdr:row>11</xdr:row>
                <xdr:rowOff>0</xdr:rowOff>
              </to>
            </anchor>
          </controlPr>
        </control>
      </mc:Choice>
      <mc:Fallback>
        <control shapeId="1123" r:id="rId101" name="HL4_CheckBox"/>
      </mc:Fallback>
    </mc:AlternateContent>
    <mc:AlternateContent xmlns:mc="http://schemas.openxmlformats.org/markup-compatibility/2006">
      <mc:Choice Requires="x14">
        <control shapeId="1124" r:id="rId102" name="HL5_CheckBox">
          <controlPr defaultSize="0" autoLine="0" r:id="rId11">
            <anchor moveWithCells="1" sizeWithCells="1">
              <from>
                <xdr:col>0</xdr:col>
                <xdr:colOff>28575</xdr:colOff>
                <xdr:row>11</xdr:row>
                <xdr:rowOff>57150</xdr:rowOff>
              </from>
              <to>
                <xdr:col>0</xdr:col>
                <xdr:colOff>219075</xdr:colOff>
                <xdr:row>12</xdr:row>
                <xdr:rowOff>0</xdr:rowOff>
              </to>
            </anchor>
          </controlPr>
        </control>
      </mc:Choice>
      <mc:Fallback>
        <control shapeId="1124" r:id="rId102" name="HL5_CheckBox"/>
      </mc:Fallback>
    </mc:AlternateContent>
    <mc:AlternateContent xmlns:mc="http://schemas.openxmlformats.org/markup-compatibility/2006">
      <mc:Choice Requires="x14">
        <control shapeId="1125" r:id="rId103" name="HL6_CheckBox">
          <controlPr defaultSize="0" autoLine="0" r:id="rId11">
            <anchor moveWithCells="1" sizeWithCells="1">
              <from>
                <xdr:col>0</xdr:col>
                <xdr:colOff>28575</xdr:colOff>
                <xdr:row>12</xdr:row>
                <xdr:rowOff>57150</xdr:rowOff>
              </from>
              <to>
                <xdr:col>0</xdr:col>
                <xdr:colOff>219075</xdr:colOff>
                <xdr:row>13</xdr:row>
                <xdr:rowOff>0</xdr:rowOff>
              </to>
            </anchor>
          </controlPr>
        </control>
      </mc:Choice>
      <mc:Fallback>
        <control shapeId="1125" r:id="rId103" name="HL6_CheckBox"/>
      </mc:Fallback>
    </mc:AlternateContent>
    <mc:AlternateContent xmlns:mc="http://schemas.openxmlformats.org/markup-compatibility/2006">
      <mc:Choice Requires="x14">
        <control shapeId="1126" r:id="rId104" name="HL7_CheckBox">
          <controlPr defaultSize="0" autoLine="0" r:id="rId11">
            <anchor moveWithCells="1" sizeWithCells="1">
              <from>
                <xdr:col>0</xdr:col>
                <xdr:colOff>28575</xdr:colOff>
                <xdr:row>13</xdr:row>
                <xdr:rowOff>57150</xdr:rowOff>
              </from>
              <to>
                <xdr:col>0</xdr:col>
                <xdr:colOff>219075</xdr:colOff>
                <xdr:row>14</xdr:row>
                <xdr:rowOff>0</xdr:rowOff>
              </to>
            </anchor>
          </controlPr>
        </control>
      </mc:Choice>
      <mc:Fallback>
        <control shapeId="1126" r:id="rId104" name="HL7_CheckBox"/>
      </mc:Fallback>
    </mc:AlternateContent>
    <mc:AlternateContent xmlns:mc="http://schemas.openxmlformats.org/markup-compatibility/2006">
      <mc:Choice Requires="x14">
        <control shapeId="1127" r:id="rId105" name="XScale_PI_Label">
          <controlPr defaultSize="0" autoLine="0" r:id="rId106">
            <anchor moveWithCells="1" sizeWithCells="1">
              <from>
                <xdr:col>1</xdr:col>
                <xdr:colOff>571500</xdr:colOff>
                <xdr:row>6</xdr:row>
                <xdr:rowOff>57150</xdr:rowOff>
              </from>
              <to>
                <xdr:col>1</xdr:col>
                <xdr:colOff>1152525</xdr:colOff>
                <xdr:row>6</xdr:row>
                <xdr:rowOff>209550</xdr:rowOff>
              </to>
            </anchor>
          </controlPr>
        </control>
      </mc:Choice>
      <mc:Fallback>
        <control shapeId="1127" r:id="rId105" name="XScale_PI_Label"/>
      </mc:Fallback>
    </mc:AlternateContent>
    <mc:AlternateContent xmlns:mc="http://schemas.openxmlformats.org/markup-compatibility/2006">
      <mc:Choice Requires="x14">
        <control shapeId="1128" r:id="rId107" name="HL1_ComboBox">
          <controlPr defaultSize="0" autoLine="0" r:id="rId108">
            <anchor moveWithCells="1" sizeWithCells="1">
              <from>
                <xdr:col>0</xdr:col>
                <xdr:colOff>238125</xdr:colOff>
                <xdr:row>7</xdr:row>
                <xdr:rowOff>19050</xdr:rowOff>
              </from>
              <to>
                <xdr:col>1</xdr:col>
                <xdr:colOff>647700</xdr:colOff>
                <xdr:row>8</xdr:row>
                <xdr:rowOff>0</xdr:rowOff>
              </to>
            </anchor>
          </controlPr>
        </control>
      </mc:Choice>
      <mc:Fallback>
        <control shapeId="1128" r:id="rId107" name="HL1_ComboBox"/>
      </mc:Fallback>
    </mc:AlternateContent>
    <mc:AlternateContent xmlns:mc="http://schemas.openxmlformats.org/markup-compatibility/2006">
      <mc:Choice Requires="x14">
        <control shapeId="1129" r:id="rId109" name="HL2_ComboBox">
          <controlPr defaultSize="0" autoLine="0" r:id="rId110">
            <anchor moveWithCells="1" sizeWithCells="1">
              <from>
                <xdr:col>0</xdr:col>
                <xdr:colOff>238125</xdr:colOff>
                <xdr:row>8</xdr:row>
                <xdr:rowOff>19050</xdr:rowOff>
              </from>
              <to>
                <xdr:col>1</xdr:col>
                <xdr:colOff>647700</xdr:colOff>
                <xdr:row>9</xdr:row>
                <xdr:rowOff>0</xdr:rowOff>
              </to>
            </anchor>
          </controlPr>
        </control>
      </mc:Choice>
      <mc:Fallback>
        <control shapeId="1129" r:id="rId109" name="HL2_ComboBox"/>
      </mc:Fallback>
    </mc:AlternateContent>
    <mc:AlternateContent xmlns:mc="http://schemas.openxmlformats.org/markup-compatibility/2006">
      <mc:Choice Requires="x14">
        <control shapeId="1130" r:id="rId111" name="HL3_ComboBox">
          <controlPr defaultSize="0" autoLine="0" r:id="rId112">
            <anchor moveWithCells="1" sizeWithCells="1">
              <from>
                <xdr:col>0</xdr:col>
                <xdr:colOff>238125</xdr:colOff>
                <xdr:row>9</xdr:row>
                <xdr:rowOff>19050</xdr:rowOff>
              </from>
              <to>
                <xdr:col>1</xdr:col>
                <xdr:colOff>647700</xdr:colOff>
                <xdr:row>10</xdr:row>
                <xdr:rowOff>0</xdr:rowOff>
              </to>
            </anchor>
          </controlPr>
        </control>
      </mc:Choice>
      <mc:Fallback>
        <control shapeId="1130" r:id="rId111" name="HL3_ComboBox"/>
      </mc:Fallback>
    </mc:AlternateContent>
    <mc:AlternateContent xmlns:mc="http://schemas.openxmlformats.org/markup-compatibility/2006">
      <mc:Choice Requires="x14">
        <control shapeId="1131" r:id="rId113" name="HL4_ComboBox">
          <controlPr defaultSize="0" autoLine="0" r:id="rId114">
            <anchor moveWithCells="1" sizeWithCells="1">
              <from>
                <xdr:col>0</xdr:col>
                <xdr:colOff>238125</xdr:colOff>
                <xdr:row>10</xdr:row>
                <xdr:rowOff>19050</xdr:rowOff>
              </from>
              <to>
                <xdr:col>1</xdr:col>
                <xdr:colOff>647700</xdr:colOff>
                <xdr:row>11</xdr:row>
                <xdr:rowOff>0</xdr:rowOff>
              </to>
            </anchor>
          </controlPr>
        </control>
      </mc:Choice>
      <mc:Fallback>
        <control shapeId="1131" r:id="rId113" name="HL4_ComboBox"/>
      </mc:Fallback>
    </mc:AlternateContent>
    <mc:AlternateContent xmlns:mc="http://schemas.openxmlformats.org/markup-compatibility/2006">
      <mc:Choice Requires="x14">
        <control shapeId="1132" r:id="rId115" name="HL5_ComboBox">
          <controlPr defaultSize="0" autoLine="0" r:id="rId116">
            <anchor moveWithCells="1" sizeWithCells="1">
              <from>
                <xdr:col>0</xdr:col>
                <xdr:colOff>238125</xdr:colOff>
                <xdr:row>11</xdr:row>
                <xdr:rowOff>19050</xdr:rowOff>
              </from>
              <to>
                <xdr:col>1</xdr:col>
                <xdr:colOff>647700</xdr:colOff>
                <xdr:row>12</xdr:row>
                <xdr:rowOff>0</xdr:rowOff>
              </to>
            </anchor>
          </controlPr>
        </control>
      </mc:Choice>
      <mc:Fallback>
        <control shapeId="1132" r:id="rId115" name="HL5_ComboBox"/>
      </mc:Fallback>
    </mc:AlternateContent>
    <mc:AlternateContent xmlns:mc="http://schemas.openxmlformats.org/markup-compatibility/2006">
      <mc:Choice Requires="x14">
        <control shapeId="1133" r:id="rId117" name="HL6_ComboBox">
          <controlPr defaultSize="0" autoLine="0" r:id="rId118">
            <anchor moveWithCells="1" sizeWithCells="1">
              <from>
                <xdr:col>0</xdr:col>
                <xdr:colOff>238125</xdr:colOff>
                <xdr:row>12</xdr:row>
                <xdr:rowOff>19050</xdr:rowOff>
              </from>
              <to>
                <xdr:col>1</xdr:col>
                <xdr:colOff>647700</xdr:colOff>
                <xdr:row>13</xdr:row>
                <xdr:rowOff>0</xdr:rowOff>
              </to>
            </anchor>
          </controlPr>
        </control>
      </mc:Choice>
      <mc:Fallback>
        <control shapeId="1133" r:id="rId117" name="HL6_ComboBox"/>
      </mc:Fallback>
    </mc:AlternateContent>
    <mc:AlternateContent xmlns:mc="http://schemas.openxmlformats.org/markup-compatibility/2006">
      <mc:Choice Requires="x14">
        <control shapeId="1134" r:id="rId119" name="HL7_ComboBox">
          <controlPr defaultSize="0" autoLine="0" r:id="rId120">
            <anchor moveWithCells="1" sizeWithCells="1">
              <from>
                <xdr:col>0</xdr:col>
                <xdr:colOff>238125</xdr:colOff>
                <xdr:row>13</xdr:row>
                <xdr:rowOff>19050</xdr:rowOff>
              </from>
              <to>
                <xdr:col>1</xdr:col>
                <xdr:colOff>647700</xdr:colOff>
                <xdr:row>14</xdr:row>
                <xdr:rowOff>0</xdr:rowOff>
              </to>
            </anchor>
          </controlPr>
        </control>
      </mc:Choice>
      <mc:Fallback>
        <control shapeId="1134" r:id="rId119" name="HL7_ComboBox"/>
      </mc:Fallback>
    </mc:AlternateContent>
    <mc:AlternateContent xmlns:mc="http://schemas.openxmlformats.org/markup-compatibility/2006">
      <mc:Choice Requires="x14">
        <control shapeId="1135" r:id="rId121" name="HeadLine_Label">
          <controlPr defaultSize="0" autoLine="0" r:id="rId122">
            <anchor moveWithCells="1" sizeWithCells="1">
              <from>
                <xdr:col>0</xdr:col>
                <xdr:colOff>66675</xdr:colOff>
                <xdr:row>6</xdr:row>
                <xdr:rowOff>57150</xdr:rowOff>
              </from>
              <to>
                <xdr:col>0</xdr:col>
                <xdr:colOff>828675</xdr:colOff>
                <xdr:row>6</xdr:row>
                <xdr:rowOff>209550</xdr:rowOff>
              </to>
            </anchor>
          </controlPr>
        </control>
      </mc:Choice>
      <mc:Fallback>
        <control shapeId="1135" r:id="rId121" name="HeadLine_Label"/>
      </mc:Fallback>
    </mc:AlternateContent>
    <mc:AlternateContent xmlns:mc="http://schemas.openxmlformats.org/markup-compatibility/2006">
      <mc:Choice Requires="x14">
        <control shapeId="1136" r:id="rId123" name="XScaleOptBtn_1">
          <controlPr defaultSize="0" autoLine="0" r:id="rId21">
            <anchor moveWithCells="1" sizeWithCells="1">
              <from>
                <xdr:col>1</xdr:col>
                <xdr:colOff>685800</xdr:colOff>
                <xdr:row>7</xdr:row>
                <xdr:rowOff>47625</xdr:rowOff>
              </from>
              <to>
                <xdr:col>1</xdr:col>
                <xdr:colOff>876300</xdr:colOff>
                <xdr:row>7</xdr:row>
                <xdr:rowOff>238125</xdr:rowOff>
              </to>
            </anchor>
          </controlPr>
        </control>
      </mc:Choice>
      <mc:Fallback>
        <control shapeId="1136" r:id="rId123" name="XScaleOptBtn_1"/>
      </mc:Fallback>
    </mc:AlternateContent>
    <mc:AlternateContent xmlns:mc="http://schemas.openxmlformats.org/markup-compatibility/2006">
      <mc:Choice Requires="x14">
        <control shapeId="1137" r:id="rId124" name="XScaleOptBtn_2">
          <controlPr defaultSize="0" autoLine="0" r:id="rId6">
            <anchor moveWithCells="1" sizeWithCells="1">
              <from>
                <xdr:col>1</xdr:col>
                <xdr:colOff>685800</xdr:colOff>
                <xdr:row>8</xdr:row>
                <xdr:rowOff>47625</xdr:rowOff>
              </from>
              <to>
                <xdr:col>1</xdr:col>
                <xdr:colOff>876300</xdr:colOff>
                <xdr:row>8</xdr:row>
                <xdr:rowOff>238125</xdr:rowOff>
              </to>
            </anchor>
          </controlPr>
        </control>
      </mc:Choice>
      <mc:Fallback>
        <control shapeId="1137" r:id="rId124" name="XScaleOptBtn_2"/>
      </mc:Fallback>
    </mc:AlternateContent>
    <mc:AlternateContent xmlns:mc="http://schemas.openxmlformats.org/markup-compatibility/2006">
      <mc:Choice Requires="x14">
        <control shapeId="1138" r:id="rId125" name="XScaleOptBtn_3">
          <controlPr defaultSize="0" autoLine="0" r:id="rId6">
            <anchor moveWithCells="1" sizeWithCells="1">
              <from>
                <xdr:col>1</xdr:col>
                <xdr:colOff>685800</xdr:colOff>
                <xdr:row>9</xdr:row>
                <xdr:rowOff>47625</xdr:rowOff>
              </from>
              <to>
                <xdr:col>1</xdr:col>
                <xdr:colOff>876300</xdr:colOff>
                <xdr:row>9</xdr:row>
                <xdr:rowOff>238125</xdr:rowOff>
              </to>
            </anchor>
          </controlPr>
        </control>
      </mc:Choice>
      <mc:Fallback>
        <control shapeId="1138" r:id="rId125" name="XScaleOptBtn_3"/>
      </mc:Fallback>
    </mc:AlternateContent>
    <mc:AlternateContent xmlns:mc="http://schemas.openxmlformats.org/markup-compatibility/2006">
      <mc:Choice Requires="x14">
        <control shapeId="1139" r:id="rId126" name="XScaleOptBtn_4">
          <controlPr defaultSize="0" autoLine="0" r:id="rId6">
            <anchor moveWithCells="1" sizeWithCells="1">
              <from>
                <xdr:col>1</xdr:col>
                <xdr:colOff>685800</xdr:colOff>
                <xdr:row>10</xdr:row>
                <xdr:rowOff>47625</xdr:rowOff>
              </from>
              <to>
                <xdr:col>1</xdr:col>
                <xdr:colOff>876300</xdr:colOff>
                <xdr:row>10</xdr:row>
                <xdr:rowOff>238125</xdr:rowOff>
              </to>
            </anchor>
          </controlPr>
        </control>
      </mc:Choice>
      <mc:Fallback>
        <control shapeId="1139" r:id="rId126" name="XScaleOptBtn_4"/>
      </mc:Fallback>
    </mc:AlternateContent>
    <mc:AlternateContent xmlns:mc="http://schemas.openxmlformats.org/markup-compatibility/2006">
      <mc:Choice Requires="x14">
        <control shapeId="1140" r:id="rId127" name="XScaleOptBtn_5">
          <controlPr defaultSize="0" autoLine="0" r:id="rId6">
            <anchor moveWithCells="1" sizeWithCells="1">
              <from>
                <xdr:col>1</xdr:col>
                <xdr:colOff>685800</xdr:colOff>
                <xdr:row>11</xdr:row>
                <xdr:rowOff>57150</xdr:rowOff>
              </from>
              <to>
                <xdr:col>1</xdr:col>
                <xdr:colOff>876300</xdr:colOff>
                <xdr:row>12</xdr:row>
                <xdr:rowOff>0</xdr:rowOff>
              </to>
            </anchor>
          </controlPr>
        </control>
      </mc:Choice>
      <mc:Fallback>
        <control shapeId="1140" r:id="rId127" name="XScaleOptBtn_5"/>
      </mc:Fallback>
    </mc:AlternateContent>
    <mc:AlternateContent xmlns:mc="http://schemas.openxmlformats.org/markup-compatibility/2006">
      <mc:Choice Requires="x14">
        <control shapeId="1141" r:id="rId128" name="XScaleOptBtn_6">
          <controlPr defaultSize="0" autoLine="0" r:id="rId6">
            <anchor moveWithCells="1" sizeWithCells="1">
              <from>
                <xdr:col>1</xdr:col>
                <xdr:colOff>685800</xdr:colOff>
                <xdr:row>12</xdr:row>
                <xdr:rowOff>57150</xdr:rowOff>
              </from>
              <to>
                <xdr:col>1</xdr:col>
                <xdr:colOff>876300</xdr:colOff>
                <xdr:row>13</xdr:row>
                <xdr:rowOff>0</xdr:rowOff>
              </to>
            </anchor>
          </controlPr>
        </control>
      </mc:Choice>
      <mc:Fallback>
        <control shapeId="1141" r:id="rId128" name="XScaleOptBtn_6"/>
      </mc:Fallback>
    </mc:AlternateContent>
    <mc:AlternateContent xmlns:mc="http://schemas.openxmlformats.org/markup-compatibility/2006">
      <mc:Choice Requires="x14">
        <control shapeId="1142" r:id="rId129" name="XScaleOptBtn_7">
          <controlPr defaultSize="0" autoLine="0" r:id="rId6">
            <anchor moveWithCells="1" sizeWithCells="1">
              <from>
                <xdr:col>1</xdr:col>
                <xdr:colOff>685800</xdr:colOff>
                <xdr:row>13</xdr:row>
                <xdr:rowOff>57150</xdr:rowOff>
              </from>
              <to>
                <xdr:col>1</xdr:col>
                <xdr:colOff>876300</xdr:colOff>
                <xdr:row>14</xdr:row>
                <xdr:rowOff>0</xdr:rowOff>
              </to>
            </anchor>
          </controlPr>
        </control>
      </mc:Choice>
      <mc:Fallback>
        <control shapeId="1142" r:id="rId129" name="XScaleOptBtn_7"/>
      </mc:Fallback>
    </mc:AlternateContent>
    <mc:AlternateContent xmlns:mc="http://schemas.openxmlformats.org/markup-compatibility/2006">
      <mc:Choice Requires="x14">
        <control shapeId="1145" r:id="rId130" name="PD_SXUV">
          <controlPr defaultSize="0" autoLine="0" r:id="rId131">
            <anchor moveWithCells="1" sizeWithCells="1">
              <from>
                <xdr:col>1</xdr:col>
                <xdr:colOff>561975</xdr:colOff>
                <xdr:row>20</xdr:row>
                <xdr:rowOff>28575</xdr:rowOff>
              </from>
              <to>
                <xdr:col>1</xdr:col>
                <xdr:colOff>1095375</xdr:colOff>
                <xdr:row>20</xdr:row>
                <xdr:rowOff>219075</xdr:rowOff>
              </to>
            </anchor>
          </controlPr>
        </control>
      </mc:Choice>
      <mc:Fallback>
        <control shapeId="1145" r:id="rId130" name="PD_SXUV"/>
      </mc:Fallback>
    </mc:AlternateContent>
    <mc:AlternateContent xmlns:mc="http://schemas.openxmlformats.org/markup-compatibility/2006">
      <mc:Choice Requires="x14">
        <control shapeId="1146" r:id="rId132" name="PD_AXUV">
          <controlPr defaultSize="0" autoLine="0" r:id="rId133">
            <anchor moveWithCells="1" sizeWithCells="1">
              <from>
                <xdr:col>1</xdr:col>
                <xdr:colOff>561975</xdr:colOff>
                <xdr:row>21</xdr:row>
                <xdr:rowOff>28575</xdr:rowOff>
              </from>
              <to>
                <xdr:col>1</xdr:col>
                <xdr:colOff>1095375</xdr:colOff>
                <xdr:row>21</xdr:row>
                <xdr:rowOff>219075</xdr:rowOff>
              </to>
            </anchor>
          </controlPr>
        </control>
      </mc:Choice>
      <mc:Fallback>
        <control shapeId="1146" r:id="rId132" name="PD_AXUV"/>
      </mc:Fallback>
    </mc:AlternateContent>
    <mc:AlternateContent xmlns:mc="http://schemas.openxmlformats.org/markup-compatibility/2006">
      <mc:Choice Requires="x14">
        <control shapeId="1159" r:id="rId134" name="HL8_CheckBox">
          <controlPr defaultSize="0" autoLine="0" r:id="rId11">
            <anchor moveWithCells="1" sizeWithCells="1">
              <from>
                <xdr:col>0</xdr:col>
                <xdr:colOff>28575</xdr:colOff>
                <xdr:row>14</xdr:row>
                <xdr:rowOff>57150</xdr:rowOff>
              </from>
              <to>
                <xdr:col>0</xdr:col>
                <xdr:colOff>219075</xdr:colOff>
                <xdr:row>15</xdr:row>
                <xdr:rowOff>0</xdr:rowOff>
              </to>
            </anchor>
          </controlPr>
        </control>
      </mc:Choice>
      <mc:Fallback>
        <control shapeId="1159" r:id="rId134" name="HL8_CheckBox"/>
      </mc:Fallback>
    </mc:AlternateContent>
    <mc:AlternateContent xmlns:mc="http://schemas.openxmlformats.org/markup-compatibility/2006">
      <mc:Choice Requires="x14">
        <control shapeId="1160" r:id="rId135" name="HL8_ComboBox">
          <controlPr defaultSize="0" autoLine="0" r:id="rId136">
            <anchor moveWithCells="1" sizeWithCells="1">
              <from>
                <xdr:col>0</xdr:col>
                <xdr:colOff>238125</xdr:colOff>
                <xdr:row>14</xdr:row>
                <xdr:rowOff>19050</xdr:rowOff>
              </from>
              <to>
                <xdr:col>1</xdr:col>
                <xdr:colOff>647700</xdr:colOff>
                <xdr:row>15</xdr:row>
                <xdr:rowOff>0</xdr:rowOff>
              </to>
            </anchor>
          </controlPr>
        </control>
      </mc:Choice>
      <mc:Fallback>
        <control shapeId="1160" r:id="rId135" name="HL8_ComboBox"/>
      </mc:Fallback>
    </mc:AlternateContent>
    <mc:AlternateContent xmlns:mc="http://schemas.openxmlformats.org/markup-compatibility/2006">
      <mc:Choice Requires="x14">
        <control shapeId="1161" r:id="rId137" name="XScaleOptBtn_8">
          <controlPr defaultSize="0" autoLine="0" r:id="rId6">
            <anchor moveWithCells="1" sizeWithCells="1">
              <from>
                <xdr:col>1</xdr:col>
                <xdr:colOff>685800</xdr:colOff>
                <xdr:row>14</xdr:row>
                <xdr:rowOff>57150</xdr:rowOff>
              </from>
              <to>
                <xdr:col>1</xdr:col>
                <xdr:colOff>876300</xdr:colOff>
                <xdr:row>15</xdr:row>
                <xdr:rowOff>0</xdr:rowOff>
              </to>
            </anchor>
          </controlPr>
        </control>
      </mc:Choice>
      <mc:Fallback>
        <control shapeId="1161" r:id="rId137" name="XScaleOptBtn_8"/>
      </mc:Fallback>
    </mc:AlternateContent>
    <mc:AlternateContent xmlns:mc="http://schemas.openxmlformats.org/markup-compatibility/2006">
      <mc:Choice Requires="x14">
        <control shapeId="1162" r:id="rId138" name="PIOptBtn_8">
          <controlPr defaultSize="0" autoLine="0" r:id="rId6">
            <anchor moveWithCells="1" sizeWithCells="1">
              <from>
                <xdr:col>1</xdr:col>
                <xdr:colOff>933450</xdr:colOff>
                <xdr:row>14</xdr:row>
                <xdr:rowOff>57150</xdr:rowOff>
              </from>
              <to>
                <xdr:col>1</xdr:col>
                <xdr:colOff>1123950</xdr:colOff>
                <xdr:row>15</xdr:row>
                <xdr:rowOff>0</xdr:rowOff>
              </to>
            </anchor>
          </controlPr>
        </control>
      </mc:Choice>
      <mc:Fallback>
        <control shapeId="1162" r:id="rId138" name="PIOptBtn_8"/>
      </mc:Fallback>
    </mc:AlternateContent>
    <mc:AlternateContent xmlns:mc="http://schemas.openxmlformats.org/markup-compatibility/2006">
      <mc:Choice Requires="x14">
        <control shapeId="1163" r:id="rId139" name="HL9_CheckBox">
          <controlPr defaultSize="0" autoLine="0" r:id="rId11">
            <anchor moveWithCells="1" sizeWithCells="1">
              <from>
                <xdr:col>0</xdr:col>
                <xdr:colOff>28575</xdr:colOff>
                <xdr:row>15</xdr:row>
                <xdr:rowOff>57150</xdr:rowOff>
              </from>
              <to>
                <xdr:col>0</xdr:col>
                <xdr:colOff>219075</xdr:colOff>
                <xdr:row>16</xdr:row>
                <xdr:rowOff>0</xdr:rowOff>
              </to>
            </anchor>
          </controlPr>
        </control>
      </mc:Choice>
      <mc:Fallback>
        <control shapeId="1163" r:id="rId139" name="HL9_CheckBox"/>
      </mc:Fallback>
    </mc:AlternateContent>
    <mc:AlternateContent xmlns:mc="http://schemas.openxmlformats.org/markup-compatibility/2006">
      <mc:Choice Requires="x14">
        <control shapeId="1164" r:id="rId140" name="HL9_ComboBox">
          <controlPr defaultSize="0" autoLine="0" r:id="rId141">
            <anchor moveWithCells="1" sizeWithCells="1">
              <from>
                <xdr:col>0</xdr:col>
                <xdr:colOff>238125</xdr:colOff>
                <xdr:row>15</xdr:row>
                <xdr:rowOff>19050</xdr:rowOff>
              </from>
              <to>
                <xdr:col>1</xdr:col>
                <xdr:colOff>647700</xdr:colOff>
                <xdr:row>16</xdr:row>
                <xdr:rowOff>0</xdr:rowOff>
              </to>
            </anchor>
          </controlPr>
        </control>
      </mc:Choice>
      <mc:Fallback>
        <control shapeId="1164" r:id="rId140" name="HL9_ComboBox"/>
      </mc:Fallback>
    </mc:AlternateContent>
    <mc:AlternateContent xmlns:mc="http://schemas.openxmlformats.org/markup-compatibility/2006">
      <mc:Choice Requires="x14">
        <control shapeId="1165" r:id="rId142" name="XScaleOptBtn_9">
          <controlPr defaultSize="0" autoLine="0" r:id="rId6">
            <anchor moveWithCells="1" sizeWithCells="1">
              <from>
                <xdr:col>1</xdr:col>
                <xdr:colOff>685800</xdr:colOff>
                <xdr:row>15</xdr:row>
                <xdr:rowOff>57150</xdr:rowOff>
              </from>
              <to>
                <xdr:col>1</xdr:col>
                <xdr:colOff>876300</xdr:colOff>
                <xdr:row>16</xdr:row>
                <xdr:rowOff>0</xdr:rowOff>
              </to>
            </anchor>
          </controlPr>
        </control>
      </mc:Choice>
      <mc:Fallback>
        <control shapeId="1165" r:id="rId142" name="XScaleOptBtn_9"/>
      </mc:Fallback>
    </mc:AlternateContent>
    <mc:AlternateContent xmlns:mc="http://schemas.openxmlformats.org/markup-compatibility/2006">
      <mc:Choice Requires="x14">
        <control shapeId="1166" r:id="rId143" name="PIOptBtn_9">
          <controlPr defaultSize="0" autoLine="0" r:id="rId6">
            <anchor moveWithCells="1" sizeWithCells="1">
              <from>
                <xdr:col>1</xdr:col>
                <xdr:colOff>933450</xdr:colOff>
                <xdr:row>15</xdr:row>
                <xdr:rowOff>57150</xdr:rowOff>
              </from>
              <to>
                <xdr:col>1</xdr:col>
                <xdr:colOff>1123950</xdr:colOff>
                <xdr:row>16</xdr:row>
                <xdr:rowOff>0</xdr:rowOff>
              </to>
            </anchor>
          </controlPr>
        </control>
      </mc:Choice>
      <mc:Fallback>
        <control shapeId="1166" r:id="rId143" name="PIOptBtn_9"/>
      </mc:Fallback>
    </mc:AlternateContent>
    <mc:AlternateContent xmlns:mc="http://schemas.openxmlformats.org/markup-compatibility/2006">
      <mc:Choice Requires="x14">
        <control shapeId="1052" r:id="rId144" name="Label 28">
          <controlPr defaultSize="0" autoFill="0" autoLine="0" autoPict="0">
            <anchor moveWithCells="1" sizeWithCells="1">
              <from>
                <xdr:col>3</xdr:col>
                <xdr:colOff>904875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7" r:id="rId145" name="Label 63">
          <controlPr defaultSize="0" autoFill="0" autoLine="0" autoPict="0">
            <anchor moveWithCells="1" sizeWithCells="1">
              <from>
                <xdr:col>14</xdr:col>
                <xdr:colOff>19050</xdr:colOff>
                <xdr:row>0</xdr:row>
                <xdr:rowOff>180975</xdr:rowOff>
              </from>
              <to>
                <xdr:col>16</xdr:col>
                <xdr:colOff>0</xdr:colOff>
                <xdr:row>1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67"/>
  <sheetViews>
    <sheetView topLeftCell="A13" workbookViewId="0">
      <selection activeCell="D51" sqref="D51"/>
    </sheetView>
  </sheetViews>
  <sheetFormatPr defaultRowHeight="15" x14ac:dyDescent="0.25"/>
  <sheetData>
    <row r="1" spans="1:27" x14ac:dyDescent="0.25">
      <c r="A1" s="32" t="s">
        <v>22</v>
      </c>
      <c r="B1" s="32">
        <v>18.001999999999999</v>
      </c>
      <c r="C1" s="32">
        <v>27.988</v>
      </c>
      <c r="D1" s="32">
        <v>31.98</v>
      </c>
      <c r="E1" s="32">
        <v>43.985999999999997</v>
      </c>
      <c r="F1" s="32">
        <v>83.88</v>
      </c>
      <c r="G1" s="32">
        <v>112.093</v>
      </c>
      <c r="H1" s="32">
        <v>115.024</v>
      </c>
      <c r="I1" s="32">
        <v>116.05200000000001</v>
      </c>
      <c r="J1" s="32">
        <v>128.03899999999999</v>
      </c>
      <c r="K1">
        <v>130.048</v>
      </c>
      <c r="L1">
        <v>142.06899999999999</v>
      </c>
      <c r="M1">
        <v>147.99100000000001</v>
      </c>
      <c r="T1" t="s">
        <v>23</v>
      </c>
      <c r="U1" t="s">
        <v>24</v>
      </c>
      <c r="V1" t="s">
        <v>26</v>
      </c>
      <c r="W1" t="s">
        <v>52</v>
      </c>
      <c r="Y1" s="33" t="s">
        <v>25</v>
      </c>
      <c r="Z1" s="33" t="s">
        <v>43</v>
      </c>
      <c r="AA1" t="s">
        <v>46</v>
      </c>
    </row>
    <row r="2" spans="1:27" x14ac:dyDescent="0.25">
      <c r="A2" s="32">
        <v>700</v>
      </c>
      <c r="B2" s="32">
        <v>4.5316365985105897E-2</v>
      </c>
      <c r="C2" s="32">
        <v>1.8483305203514768E-3</v>
      </c>
      <c r="D2" s="32">
        <v>0.10793166899936851</v>
      </c>
      <c r="E2" s="32">
        <v>1.5282278314892294E-2</v>
      </c>
      <c r="F2" s="32">
        <v>1.0278433443247732</v>
      </c>
      <c r="G2" s="32">
        <v>8.6139506264703083E-3</v>
      </c>
      <c r="H2" s="32">
        <v>0.1677017599814189</v>
      </c>
      <c r="I2" s="32">
        <v>4.0106497570058644E-2</v>
      </c>
      <c r="J2" s="32">
        <v>9.9583445479101591E-3</v>
      </c>
      <c r="K2">
        <v>0.20184238021417975</v>
      </c>
      <c r="L2">
        <v>3.3196411879445218E-3</v>
      </c>
      <c r="M2">
        <v>3.5822675050194613E-4</v>
      </c>
      <c r="T2">
        <f t="shared" ref="T2:T19" si="0">A2</f>
        <v>700</v>
      </c>
      <c r="U2">
        <f t="shared" ref="U2:U19" si="1">F2</f>
        <v>1.0278433443247732</v>
      </c>
      <c r="V2">
        <f t="shared" ref="V2:V19" si="2">U2/$U$2</f>
        <v>1</v>
      </c>
      <c r="W2">
        <f>K2</f>
        <v>0.20184238021417975</v>
      </c>
      <c r="X2">
        <f>W2/V2</f>
        <v>0.20184238021417975</v>
      </c>
      <c r="Y2">
        <f t="shared" ref="Y2:Y19" si="3">X2/$X$2</f>
        <v>1</v>
      </c>
      <c r="Z2">
        <f t="shared" ref="Z2:Z19" si="4">C21/V2/($C$21/$V$2)</f>
        <v>1</v>
      </c>
      <c r="AA2">
        <f>AVERAGE(Y2:Z2)</f>
        <v>1</v>
      </c>
    </row>
    <row r="3" spans="1:27" x14ac:dyDescent="0.25">
      <c r="A3" s="32">
        <v>800</v>
      </c>
      <c r="B3" s="32">
        <v>3.695959003423941E-2</v>
      </c>
      <c r="C3" s="32">
        <v>1.8260849172699464E-3</v>
      </c>
      <c r="D3" s="32">
        <v>0.10281312375739535</v>
      </c>
      <c r="E3" s="32">
        <v>1.0903100440952222E-2</v>
      </c>
      <c r="F3" s="32">
        <v>0.89348989807074153</v>
      </c>
      <c r="G3" s="32">
        <v>8.5540503137298222E-3</v>
      </c>
      <c r="H3" s="32">
        <v>0.14966541829065141</v>
      </c>
      <c r="I3" s="32">
        <v>3.0300817484896873E-2</v>
      </c>
      <c r="J3" s="32">
        <v>1.6698289641152123E-2</v>
      </c>
      <c r="K3">
        <v>0.17065000659462304</v>
      </c>
      <c r="L3">
        <v>2.9368979161255773E-3</v>
      </c>
      <c r="M3">
        <v>5.4823418596634853E-4</v>
      </c>
      <c r="T3">
        <f t="shared" si="0"/>
        <v>800</v>
      </c>
      <c r="U3">
        <f t="shared" si="1"/>
        <v>0.89348989807074153</v>
      </c>
      <c r="V3">
        <f t="shared" si="2"/>
        <v>0.8692860667962069</v>
      </c>
      <c r="W3">
        <f t="shared" ref="W3:W19" si="5">K3</f>
        <v>0.17065000659462304</v>
      </c>
      <c r="X3">
        <f>W3/V3</f>
        <v>0.19631052781457933</v>
      </c>
      <c r="Y3">
        <f t="shared" si="3"/>
        <v>0.97259320667081695</v>
      </c>
      <c r="Z3">
        <f t="shared" si="4"/>
        <v>0.97037575050691682</v>
      </c>
      <c r="AA3">
        <f t="shared" ref="AA3:AA19" si="6">AVERAGE(Y3:Z3)</f>
        <v>0.97148447858886688</v>
      </c>
    </row>
    <row r="4" spans="1:27" x14ac:dyDescent="0.25">
      <c r="A4" s="32">
        <v>850</v>
      </c>
      <c r="B4" s="32">
        <v>3.2094451759109625E-2</v>
      </c>
      <c r="C4" s="32">
        <v>2.5950325750765989E-3</v>
      </c>
      <c r="D4" s="32">
        <v>9.1034935012036328E-2</v>
      </c>
      <c r="E4" s="32">
        <v>1.3142991083085514E-2</v>
      </c>
      <c r="F4" s="32">
        <v>0.83298037430864358</v>
      </c>
      <c r="G4" s="32">
        <v>1.0016563445285086E-2</v>
      </c>
      <c r="H4" s="32">
        <v>0.13431557597221566</v>
      </c>
      <c r="I4" s="32">
        <v>2.6637902462834172E-2</v>
      </c>
      <c r="J4" s="32">
        <v>3.6264776509135996E-2</v>
      </c>
      <c r="K4">
        <v>0.14478455420736799</v>
      </c>
      <c r="L4">
        <v>1.6629149006442412E-3</v>
      </c>
      <c r="M4">
        <v>3.8031042811964555E-4</v>
      </c>
      <c r="T4">
        <f t="shared" si="0"/>
        <v>850</v>
      </c>
      <c r="U4">
        <f t="shared" si="1"/>
        <v>0.83298037430864358</v>
      </c>
      <c r="V4">
        <f t="shared" si="2"/>
        <v>0.81041569117311152</v>
      </c>
      <c r="W4">
        <f t="shared" si="5"/>
        <v>0.14478455420736799</v>
      </c>
      <c r="X4">
        <f t="shared" ref="X4:X14" si="7">W4/V4</f>
        <v>0.17865467782069488</v>
      </c>
      <c r="Y4">
        <f t="shared" si="3"/>
        <v>0.88511975349834937</v>
      </c>
      <c r="Z4">
        <f t="shared" si="4"/>
        <v>0.83802954794604723</v>
      </c>
      <c r="AA4">
        <f t="shared" si="6"/>
        <v>0.8615746507221983</v>
      </c>
    </row>
    <row r="5" spans="1:27" x14ac:dyDescent="0.25">
      <c r="A5" s="32">
        <v>875</v>
      </c>
      <c r="B5" s="32">
        <v>3.4037395531296311E-2</v>
      </c>
      <c r="C5" s="32">
        <v>2.2202760028559847E-3</v>
      </c>
      <c r="D5" s="32">
        <v>8.4606279504493342E-2</v>
      </c>
      <c r="E5" s="32">
        <v>9.4414186012596862E-3</v>
      </c>
      <c r="F5" s="32">
        <v>0.81536499625835168</v>
      </c>
      <c r="G5" s="32">
        <v>8.1173826607608933E-3</v>
      </c>
      <c r="H5" s="32">
        <v>0.13673151267238251</v>
      </c>
      <c r="I5" s="32">
        <v>3.0759637072688986E-2</v>
      </c>
      <c r="J5" s="32">
        <v>4.527258818685536E-2</v>
      </c>
      <c r="K5">
        <v>0.12330864950036517</v>
      </c>
      <c r="L5">
        <v>2.4062798304398665E-3</v>
      </c>
      <c r="M5">
        <v>5.4638279326909992E-4</v>
      </c>
      <c r="T5">
        <f t="shared" si="0"/>
        <v>875</v>
      </c>
      <c r="U5">
        <f t="shared" si="1"/>
        <v>0.81536499625835168</v>
      </c>
      <c r="V5">
        <f t="shared" si="2"/>
        <v>0.79327749774358258</v>
      </c>
      <c r="W5">
        <f t="shared" si="5"/>
        <v>0.12330864950036517</v>
      </c>
      <c r="X5">
        <f t="shared" si="7"/>
        <v>0.15544201096225121</v>
      </c>
      <c r="Y5">
        <f t="shared" si="3"/>
        <v>0.77011582402718404</v>
      </c>
      <c r="Z5">
        <f t="shared" si="4"/>
        <v>0.78838230437441348</v>
      </c>
      <c r="AA5">
        <f t="shared" si="6"/>
        <v>0.77924906420079876</v>
      </c>
    </row>
    <row r="6" spans="1:27" x14ac:dyDescent="0.25">
      <c r="A6" s="32">
        <v>900</v>
      </c>
      <c r="B6" s="32">
        <v>3.2868231536502285E-2</v>
      </c>
      <c r="C6" s="32">
        <v>3.1248894176297303E-3</v>
      </c>
      <c r="D6" s="32">
        <v>8.443290055770955E-2</v>
      </c>
      <c r="E6" s="32">
        <v>6.6393323217585759E-3</v>
      </c>
      <c r="F6" s="32">
        <v>0.74764600345313226</v>
      </c>
      <c r="G6" s="32">
        <v>6.3285085114841762E-3</v>
      </c>
      <c r="H6" s="32">
        <v>0.12540652125765434</v>
      </c>
      <c r="I6" s="32">
        <v>3.4873639645188644E-2</v>
      </c>
      <c r="J6" s="32">
        <v>5.0986388696950484E-2</v>
      </c>
      <c r="K6">
        <v>0.10857526929685234</v>
      </c>
      <c r="L6">
        <v>2.4032222017809435E-3</v>
      </c>
      <c r="M6">
        <v>1.8600283877777391E-4</v>
      </c>
      <c r="T6">
        <f t="shared" si="0"/>
        <v>900</v>
      </c>
      <c r="U6">
        <f t="shared" si="1"/>
        <v>0.74764600345313226</v>
      </c>
      <c r="V6">
        <f t="shared" si="2"/>
        <v>0.72739295105742741</v>
      </c>
      <c r="W6">
        <f t="shared" si="5"/>
        <v>0.10857526929685234</v>
      </c>
      <c r="X6">
        <f t="shared" si="7"/>
        <v>0.14926632041046595</v>
      </c>
      <c r="Y6">
        <f t="shared" si="3"/>
        <v>0.73951922411971116</v>
      </c>
      <c r="Z6">
        <f t="shared" si="4"/>
        <v>0.66516398389346942</v>
      </c>
      <c r="AA6">
        <f t="shared" si="6"/>
        <v>0.70234160400659029</v>
      </c>
    </row>
    <row r="7" spans="1:27" x14ac:dyDescent="0.25">
      <c r="A7" s="32">
        <v>925</v>
      </c>
      <c r="B7" s="32">
        <v>3.1056838959358308E-2</v>
      </c>
      <c r="C7" s="32">
        <v>2.779480526519764E-3</v>
      </c>
      <c r="D7" s="32">
        <v>7.9441326917199323E-2</v>
      </c>
      <c r="E7" s="32">
        <v>1.0574944000383883E-2</v>
      </c>
      <c r="F7" s="32">
        <v>0.72670957259511448</v>
      </c>
      <c r="G7" s="32">
        <v>8.5317581298699225E-3</v>
      </c>
      <c r="H7" s="32">
        <v>0.12514248324633481</v>
      </c>
      <c r="I7" s="32">
        <v>4.6071105461741521E-2</v>
      </c>
      <c r="J7" s="32">
        <v>5.5896907402746096E-2</v>
      </c>
      <c r="K7">
        <v>9.1112064452475869E-2</v>
      </c>
      <c r="L7">
        <v>2.0246382875602174E-3</v>
      </c>
      <c r="M7">
        <v>3.6337092633159559E-4</v>
      </c>
      <c r="T7">
        <f t="shared" si="0"/>
        <v>925</v>
      </c>
      <c r="U7">
        <f t="shared" si="1"/>
        <v>0.72670957259511448</v>
      </c>
      <c r="V7">
        <f t="shared" si="2"/>
        <v>0.70702366912976977</v>
      </c>
      <c r="W7">
        <f t="shared" si="5"/>
        <v>9.1112064452475869E-2</v>
      </c>
      <c r="X7">
        <f t="shared" si="7"/>
        <v>0.12886706404697862</v>
      </c>
      <c r="Y7">
        <f t="shared" si="3"/>
        <v>0.63845394564924729</v>
      </c>
      <c r="Z7">
        <f t="shared" si="4"/>
        <v>0.57579091992160381</v>
      </c>
      <c r="AA7">
        <f t="shared" si="6"/>
        <v>0.60712243278542555</v>
      </c>
    </row>
    <row r="8" spans="1:27" x14ac:dyDescent="0.25">
      <c r="A8" s="32">
        <v>950</v>
      </c>
      <c r="B8" s="32">
        <v>2.8688028090088268E-2</v>
      </c>
      <c r="C8" s="32">
        <v>4.434177410591939E-3</v>
      </c>
      <c r="D8" s="32">
        <v>7.2054422663925505E-2</v>
      </c>
      <c r="E8" s="32">
        <v>9.6193885966299932E-3</v>
      </c>
      <c r="F8" s="32">
        <v>0.6950148708279964</v>
      </c>
      <c r="G8" s="32">
        <v>7.7778517889981122E-3</v>
      </c>
      <c r="H8" s="32">
        <v>0.12452582960375168</v>
      </c>
      <c r="I8" s="32">
        <v>5.3350933435528734E-2</v>
      </c>
      <c r="J8" s="32">
        <v>5.4133840779908377E-2</v>
      </c>
      <c r="K8">
        <v>5.4780593559492607E-2</v>
      </c>
      <c r="L8">
        <v>2.0375982880828595E-3</v>
      </c>
      <c r="M8">
        <v>0</v>
      </c>
      <c r="T8">
        <f t="shared" si="0"/>
        <v>950</v>
      </c>
      <c r="U8">
        <f t="shared" si="1"/>
        <v>0.6950148708279964</v>
      </c>
      <c r="V8">
        <f t="shared" si="2"/>
        <v>0.67618754809817483</v>
      </c>
      <c r="W8">
        <f t="shared" si="5"/>
        <v>5.4780593559492607E-2</v>
      </c>
      <c r="X8">
        <f t="shared" si="7"/>
        <v>8.1013904668263845E-2</v>
      </c>
      <c r="Y8">
        <f t="shared" si="3"/>
        <v>0.40137212305115538</v>
      </c>
      <c r="Z8">
        <f t="shared" si="4"/>
        <v>0.48123490135374297</v>
      </c>
      <c r="AA8">
        <f t="shared" si="6"/>
        <v>0.44130351220244918</v>
      </c>
    </row>
    <row r="9" spans="1:27" x14ac:dyDescent="0.25">
      <c r="A9" s="32">
        <v>975</v>
      </c>
      <c r="B9" s="32">
        <v>1.8820476481404249E-2</v>
      </c>
      <c r="C9" s="32">
        <v>5.5003988825001078E-3</v>
      </c>
      <c r="D9" s="32">
        <v>7.236908696541472E-2</v>
      </c>
      <c r="E9" s="32">
        <v>9.444877700484848E-3</v>
      </c>
      <c r="F9" s="32">
        <v>0.69727572560401585</v>
      </c>
      <c r="G9" s="32">
        <v>8.4252734342615473E-3</v>
      </c>
      <c r="H9" s="32">
        <v>0.11277357975470848</v>
      </c>
      <c r="I9" s="32">
        <v>5.4533496453088887E-2</v>
      </c>
      <c r="J9" s="32">
        <v>6.9719441868123649E-2</v>
      </c>
      <c r="K9">
        <v>4.8862717918390114E-2</v>
      </c>
      <c r="L9">
        <v>1.0991482401933748E-3</v>
      </c>
      <c r="M9">
        <v>1.8630083055966805E-4</v>
      </c>
      <c r="T9">
        <f t="shared" si="0"/>
        <v>975</v>
      </c>
      <c r="U9">
        <f t="shared" si="1"/>
        <v>0.69727572560401585</v>
      </c>
      <c r="V9">
        <f t="shared" si="2"/>
        <v>0.67838715836806929</v>
      </c>
      <c r="W9">
        <f t="shared" si="5"/>
        <v>4.8862717918390114E-2</v>
      </c>
      <c r="X9">
        <f t="shared" si="7"/>
        <v>7.2027775460747887E-2</v>
      </c>
      <c r="Y9">
        <f t="shared" si="3"/>
        <v>0.35685159570709335</v>
      </c>
      <c r="Z9">
        <f t="shared" si="4"/>
        <v>0.32574442378937163</v>
      </c>
      <c r="AA9">
        <f t="shared" si="6"/>
        <v>0.34129800974823249</v>
      </c>
    </row>
    <row r="10" spans="1:27" x14ac:dyDescent="0.25">
      <c r="A10" s="32">
        <v>1000</v>
      </c>
      <c r="B10" s="32">
        <v>3.2577813457991919E-2</v>
      </c>
      <c r="C10" s="32">
        <v>5.8884049408768372E-3</v>
      </c>
      <c r="D10" s="32">
        <v>7.2083337071688139E-2</v>
      </c>
      <c r="E10" s="32">
        <v>9.7448568641926303E-3</v>
      </c>
      <c r="F10" s="32">
        <v>0.69620252256163662</v>
      </c>
      <c r="G10" s="32">
        <v>7.5570215907444244E-3</v>
      </c>
      <c r="H10" s="32">
        <v>0.11607901445568933</v>
      </c>
      <c r="I10" s="32">
        <v>6.0926235032602957E-2</v>
      </c>
      <c r="J10" s="32">
        <v>6.4072008709472064E-2</v>
      </c>
      <c r="K10">
        <v>4.347549331030965E-2</v>
      </c>
      <c r="L10">
        <v>2.2027290640862871E-3</v>
      </c>
      <c r="M10">
        <v>3.7898772748043728E-4</v>
      </c>
      <c r="T10">
        <f t="shared" si="0"/>
        <v>1000</v>
      </c>
      <c r="U10">
        <f t="shared" si="1"/>
        <v>0.69620252256163662</v>
      </c>
      <c r="V10">
        <f t="shared" si="2"/>
        <v>0.6773430274231107</v>
      </c>
      <c r="W10">
        <f t="shared" si="5"/>
        <v>4.347549331030965E-2</v>
      </c>
      <c r="X10">
        <f t="shared" si="7"/>
        <v>6.4185341178912211E-2</v>
      </c>
      <c r="Y10">
        <f t="shared" si="3"/>
        <v>0.31799734580420436</v>
      </c>
      <c r="Z10">
        <f t="shared" si="4"/>
        <v>0.29038719096205634</v>
      </c>
      <c r="AA10">
        <f t="shared" si="6"/>
        <v>0.30419226838313035</v>
      </c>
    </row>
    <row r="11" spans="1:27" x14ac:dyDescent="0.25">
      <c r="A11" s="32">
        <v>1025</v>
      </c>
      <c r="B11" s="32">
        <v>3.2371472988076688E-2</v>
      </c>
      <c r="C11" s="32">
        <v>5.3262367176877814E-3</v>
      </c>
      <c r="D11" s="32">
        <v>6.5397365395852336E-2</v>
      </c>
      <c r="E11" s="32">
        <v>5.9046356925925893E-3</v>
      </c>
      <c r="F11" s="32">
        <v>0.64884051837580492</v>
      </c>
      <c r="G11" s="32">
        <v>9.5946495957233008E-3</v>
      </c>
      <c r="H11" s="32">
        <v>9.3667858832673728E-2</v>
      </c>
      <c r="I11" s="32">
        <v>5.9031272685208504E-2</v>
      </c>
      <c r="J11" s="32">
        <v>6.6793722505341033E-2</v>
      </c>
      <c r="K11">
        <v>2.9546551665550858E-2</v>
      </c>
      <c r="L11">
        <v>2.7876378794291319E-3</v>
      </c>
      <c r="M11">
        <v>0</v>
      </c>
      <c r="T11">
        <f t="shared" si="0"/>
        <v>1025</v>
      </c>
      <c r="U11">
        <f t="shared" si="1"/>
        <v>0.64884051837580492</v>
      </c>
      <c r="V11">
        <f t="shared" si="2"/>
        <v>0.63126401699088819</v>
      </c>
      <c r="W11">
        <f t="shared" si="5"/>
        <v>2.9546551665550858E-2</v>
      </c>
      <c r="X11">
        <f t="shared" si="7"/>
        <v>4.6805379160360636E-2</v>
      </c>
      <c r="Y11">
        <f t="shared" si="3"/>
        <v>0.23189074123429548</v>
      </c>
      <c r="Z11">
        <f t="shared" si="4"/>
        <v>0.24792172333360185</v>
      </c>
      <c r="AA11">
        <f t="shared" si="6"/>
        <v>0.23990623228394867</v>
      </c>
    </row>
    <row r="12" spans="1:27" x14ac:dyDescent="0.25">
      <c r="A12" s="32">
        <v>1050</v>
      </c>
      <c r="B12" s="32">
        <v>2.0697576890993687E-2</v>
      </c>
      <c r="C12" s="32">
        <v>7.3674563371895537E-3</v>
      </c>
      <c r="D12" s="32">
        <v>6.3963613659767299E-2</v>
      </c>
      <c r="E12" s="32">
        <v>8.6817137779145979E-3</v>
      </c>
      <c r="F12" s="32">
        <v>0.65307586912856097</v>
      </c>
      <c r="G12" s="32">
        <v>9.1075271727761621E-3</v>
      </c>
      <c r="H12" s="32">
        <v>9.1271617482684517E-2</v>
      </c>
      <c r="I12" s="32">
        <v>5.7291418317991609E-2</v>
      </c>
      <c r="J12" s="32">
        <v>7.9101655155861511E-2</v>
      </c>
      <c r="K12">
        <v>2.8525963062203574E-2</v>
      </c>
      <c r="L12">
        <v>1.4770533063611221E-3</v>
      </c>
      <c r="M12">
        <v>0</v>
      </c>
      <c r="T12">
        <f t="shared" si="0"/>
        <v>1050</v>
      </c>
      <c r="U12">
        <f t="shared" si="1"/>
        <v>0.65307586912856097</v>
      </c>
      <c r="V12">
        <f t="shared" si="2"/>
        <v>0.63538463593164551</v>
      </c>
      <c r="W12">
        <f t="shared" si="5"/>
        <v>2.8525963062203574E-2</v>
      </c>
      <c r="X12">
        <f t="shared" si="7"/>
        <v>4.4895582060111995E-2</v>
      </c>
      <c r="Y12">
        <f t="shared" si="3"/>
        <v>0.22242891712073662</v>
      </c>
      <c r="Z12">
        <f t="shared" si="4"/>
        <v>0.22860040224675365</v>
      </c>
      <c r="AA12">
        <f t="shared" si="6"/>
        <v>0.22551465968374512</v>
      </c>
    </row>
    <row r="13" spans="1:27" x14ac:dyDescent="0.25">
      <c r="A13" s="32">
        <v>1075</v>
      </c>
      <c r="B13" s="32">
        <v>2.3791243008700592E-2</v>
      </c>
      <c r="C13" s="32">
        <v>6.789026759290745E-3</v>
      </c>
      <c r="D13" s="32">
        <v>6.6554024515669927E-2</v>
      </c>
      <c r="E13" s="32">
        <v>6.9369483697234906E-3</v>
      </c>
      <c r="F13" s="32">
        <v>0.61156510696105615</v>
      </c>
      <c r="G13" s="32">
        <v>6.9692470133673433E-3</v>
      </c>
      <c r="H13" s="32">
        <v>8.6172042533200363E-2</v>
      </c>
      <c r="I13" s="32">
        <v>4.3269551741600173E-2</v>
      </c>
      <c r="J13" s="32">
        <v>7.5384767398883834E-2</v>
      </c>
      <c r="K13">
        <v>2.0394787214140807E-2</v>
      </c>
      <c r="L13">
        <v>2.0222810221220654E-3</v>
      </c>
      <c r="M13">
        <v>5.6748103166421346E-4</v>
      </c>
      <c r="T13">
        <f t="shared" si="0"/>
        <v>1075</v>
      </c>
      <c r="U13">
        <f t="shared" si="1"/>
        <v>0.61156510696105615</v>
      </c>
      <c r="V13">
        <f t="shared" si="2"/>
        <v>0.5949983626763814</v>
      </c>
      <c r="W13">
        <f t="shared" si="5"/>
        <v>2.0394787214140807E-2</v>
      </c>
      <c r="X13">
        <f t="shared" si="7"/>
        <v>3.4277047624807495E-2</v>
      </c>
      <c r="Y13">
        <f t="shared" si="3"/>
        <v>0.16982086511482528</v>
      </c>
      <c r="Z13">
        <f t="shared" si="4"/>
        <v>0.20716520418655382</v>
      </c>
      <c r="AA13">
        <f t="shared" si="6"/>
        <v>0.18849303465068956</v>
      </c>
    </row>
    <row r="14" spans="1:27" x14ac:dyDescent="0.25">
      <c r="A14">
        <v>1100</v>
      </c>
      <c r="B14">
        <v>2.761061905240679E-2</v>
      </c>
      <c r="C14">
        <v>1.0886510689763994E-2</v>
      </c>
      <c r="D14">
        <v>6.5782593520640045E-2</v>
      </c>
      <c r="E14">
        <v>1.0124442500157623E-2</v>
      </c>
      <c r="F14">
        <v>0.6327151002272009</v>
      </c>
      <c r="G14">
        <v>8.849798597063108E-3</v>
      </c>
      <c r="H14">
        <v>5.6029514435807976E-2</v>
      </c>
      <c r="I14">
        <v>3.7829839954228076E-2</v>
      </c>
      <c r="J14">
        <v>5.5747241274598118E-2</v>
      </c>
      <c r="K14">
        <v>1.3854991186890148E-2</v>
      </c>
      <c r="L14">
        <v>9.2070763523199384E-4</v>
      </c>
      <c r="M14">
        <v>0</v>
      </c>
      <c r="T14">
        <f t="shared" si="0"/>
        <v>1100</v>
      </c>
      <c r="U14">
        <f t="shared" si="1"/>
        <v>0.6327151002272009</v>
      </c>
      <c r="V14">
        <f t="shared" si="2"/>
        <v>0.61557542180015179</v>
      </c>
      <c r="W14">
        <f t="shared" si="5"/>
        <v>1.3854991186890148E-2</v>
      </c>
      <c r="X14">
        <f t="shared" si="7"/>
        <v>2.2507382030253001E-2</v>
      </c>
      <c r="Y14">
        <f t="shared" si="3"/>
        <v>0.11150969388277072</v>
      </c>
      <c r="Z14">
        <f t="shared" si="4"/>
        <v>0.11198534518539796</v>
      </c>
      <c r="AA14">
        <f t="shared" si="6"/>
        <v>0.11174751953408435</v>
      </c>
    </row>
    <row r="15" spans="1:27" x14ac:dyDescent="0.25">
      <c r="A15">
        <v>1125</v>
      </c>
      <c r="B15">
        <v>2.5007583250820208E-2</v>
      </c>
      <c r="C15">
        <v>1.0914280296272118E-2</v>
      </c>
      <c r="D15">
        <v>5.6629429082768898E-2</v>
      </c>
      <c r="E15">
        <v>7.789081932645027E-3</v>
      </c>
      <c r="F15">
        <v>0.62984710198817218</v>
      </c>
      <c r="G15">
        <v>9.7101425768409445E-3</v>
      </c>
      <c r="H15">
        <v>4.4798867773966952E-2</v>
      </c>
      <c r="I15">
        <v>2.9801998304000731E-2</v>
      </c>
      <c r="J15">
        <v>4.6272092162848298E-2</v>
      </c>
      <c r="K15">
        <v>7.8496869039251273E-3</v>
      </c>
      <c r="L15">
        <v>1.4886954917714146E-3</v>
      </c>
      <c r="M15">
        <v>1.8226885446696756E-4</v>
      </c>
      <c r="T15">
        <f t="shared" si="0"/>
        <v>1125</v>
      </c>
      <c r="U15">
        <f t="shared" si="1"/>
        <v>0.62984710198817218</v>
      </c>
      <c r="V15">
        <f t="shared" si="2"/>
        <v>0.61278511503320687</v>
      </c>
      <c r="W15">
        <f t="shared" si="5"/>
        <v>7.8496869039251273E-3</v>
      </c>
      <c r="X15">
        <f t="shared" ref="X15:X19" si="8">W15/V15</f>
        <v>1.2809852444767286E-2</v>
      </c>
      <c r="Y15">
        <f t="shared" si="3"/>
        <v>6.3464632309500349E-2</v>
      </c>
      <c r="Z15">
        <f t="shared" si="4"/>
        <v>8.493697387339065E-2</v>
      </c>
      <c r="AA15">
        <f t="shared" si="6"/>
        <v>7.42008030914455E-2</v>
      </c>
    </row>
    <row r="16" spans="1:27" x14ac:dyDescent="0.25">
      <c r="A16">
        <v>1150</v>
      </c>
      <c r="B16">
        <v>2.1970714022279715E-2</v>
      </c>
      <c r="C16">
        <v>1.3809555228920616E-2</v>
      </c>
      <c r="D16">
        <v>5.3865256482246507E-2</v>
      </c>
      <c r="E16">
        <v>7.550758063774028E-3</v>
      </c>
      <c r="F16">
        <v>0.50650501925300051</v>
      </c>
      <c r="G16">
        <v>9.357835310441728E-3</v>
      </c>
      <c r="H16">
        <v>2.5704559181891667E-2</v>
      </c>
      <c r="I16">
        <v>1.4752970804483768E-2</v>
      </c>
      <c r="J16">
        <v>3.9057346073898984E-2</v>
      </c>
      <c r="K16">
        <v>5.6502952690011474E-3</v>
      </c>
      <c r="L16">
        <v>3.6461049320401834E-4</v>
      </c>
      <c r="M16">
        <v>0</v>
      </c>
      <c r="T16">
        <f t="shared" si="0"/>
        <v>1150</v>
      </c>
      <c r="U16">
        <f t="shared" si="1"/>
        <v>0.50650501925300051</v>
      </c>
      <c r="V16">
        <f t="shared" si="2"/>
        <v>0.49278425749377369</v>
      </c>
      <c r="W16">
        <f t="shared" si="5"/>
        <v>5.6502952690011474E-3</v>
      </c>
      <c r="X16">
        <f t="shared" si="8"/>
        <v>1.1466062852205741E-2</v>
      </c>
      <c r="Y16">
        <f t="shared" si="3"/>
        <v>5.6807013670958639E-2</v>
      </c>
      <c r="Z16">
        <f t="shared" si="4"/>
        <v>8.0606681425535967E-2</v>
      </c>
      <c r="AA16">
        <f t="shared" si="6"/>
        <v>6.8706847548247296E-2</v>
      </c>
    </row>
    <row r="17" spans="1:27" x14ac:dyDescent="0.25">
      <c r="A17">
        <v>1175</v>
      </c>
      <c r="B17">
        <v>2.1777503180664994E-2</v>
      </c>
      <c r="C17">
        <v>1.717793646925277E-2</v>
      </c>
      <c r="D17">
        <v>5.8811274218340759E-2</v>
      </c>
      <c r="E17">
        <v>8.9094293640830987E-3</v>
      </c>
      <c r="F17">
        <v>0.57243178281456297</v>
      </c>
      <c r="G17">
        <v>9.0128501620518314E-3</v>
      </c>
      <c r="H17">
        <v>1.7044122503813205E-2</v>
      </c>
      <c r="I17">
        <v>1.4443318380425146E-2</v>
      </c>
      <c r="J17">
        <v>3.8923898970440192E-2</v>
      </c>
      <c r="K17">
        <v>5.8850384548068983E-3</v>
      </c>
      <c r="L17">
        <v>9.2251787257361154E-4</v>
      </c>
      <c r="M17">
        <v>1.8584719610460486E-4</v>
      </c>
      <c r="T17">
        <f t="shared" si="0"/>
        <v>1175</v>
      </c>
      <c r="U17">
        <f t="shared" si="1"/>
        <v>0.57243178281456297</v>
      </c>
      <c r="V17">
        <f t="shared" si="2"/>
        <v>0.55692512480159484</v>
      </c>
      <c r="W17">
        <f t="shared" si="5"/>
        <v>5.8850384548068983E-3</v>
      </c>
      <c r="X17">
        <f t="shared" si="8"/>
        <v>1.0567019142660245E-2</v>
      </c>
      <c r="Y17">
        <f t="shared" si="3"/>
        <v>5.23528266533883E-2</v>
      </c>
      <c r="Z17">
        <f t="shared" si="4"/>
        <v>5.0416188542458266E-2</v>
      </c>
      <c r="AA17">
        <f t="shared" si="6"/>
        <v>5.1384507597923283E-2</v>
      </c>
    </row>
    <row r="18" spans="1:27" x14ac:dyDescent="0.25">
      <c r="T18">
        <f t="shared" si="0"/>
        <v>0</v>
      </c>
      <c r="U18">
        <f t="shared" si="1"/>
        <v>0</v>
      </c>
      <c r="V18">
        <f t="shared" si="2"/>
        <v>0</v>
      </c>
      <c r="W18">
        <f t="shared" si="5"/>
        <v>0</v>
      </c>
      <c r="X18" t="e">
        <f t="shared" si="8"/>
        <v>#DIV/0!</v>
      </c>
      <c r="Y18" t="e">
        <f t="shared" si="3"/>
        <v>#DIV/0!</v>
      </c>
      <c r="Z18" t="e">
        <f t="shared" si="4"/>
        <v>#DIV/0!</v>
      </c>
      <c r="AA18" t="e">
        <f t="shared" si="6"/>
        <v>#DIV/0!</v>
      </c>
    </row>
    <row r="19" spans="1:27" x14ac:dyDescent="0.25">
      <c r="C19" t="s">
        <v>50</v>
      </c>
      <c r="T19">
        <f t="shared" si="0"/>
        <v>0</v>
      </c>
      <c r="U19">
        <f t="shared" si="1"/>
        <v>0</v>
      </c>
      <c r="V19">
        <f t="shared" si="2"/>
        <v>0</v>
      </c>
      <c r="W19">
        <f t="shared" si="5"/>
        <v>0</v>
      </c>
      <c r="X19" t="e">
        <f t="shared" si="8"/>
        <v>#DIV/0!</v>
      </c>
      <c r="Y19" t="e">
        <f t="shared" si="3"/>
        <v>#DIV/0!</v>
      </c>
      <c r="Z19" t="e">
        <f t="shared" si="4"/>
        <v>#DIV/0!</v>
      </c>
      <c r="AA19" t="e">
        <f t="shared" si="6"/>
        <v>#DIV/0!</v>
      </c>
    </row>
    <row r="20" spans="1:27" x14ac:dyDescent="0.25">
      <c r="C20" s="32">
        <v>130.048</v>
      </c>
    </row>
    <row r="21" spans="1:27" x14ac:dyDescent="0.25">
      <c r="C21" s="32">
        <v>2.9015004820561479</v>
      </c>
      <c r="P21" s="33"/>
      <c r="Q21" s="33"/>
    </row>
    <row r="22" spans="1:27" x14ac:dyDescent="0.25">
      <c r="C22" s="32">
        <v>2.4475146542804849</v>
      </c>
    </row>
    <row r="23" spans="1:27" x14ac:dyDescent="0.25">
      <c r="C23" s="32">
        <v>1.9705607122668622</v>
      </c>
    </row>
    <row r="24" spans="1:27" x14ac:dyDescent="0.25">
      <c r="C24" s="32">
        <v>1.8146156412637156</v>
      </c>
    </row>
    <row r="25" spans="1:27" x14ac:dyDescent="0.25">
      <c r="C25" s="32">
        <v>1.4038492068517132</v>
      </c>
      <c r="T25" t="s">
        <v>23</v>
      </c>
      <c r="U25" t="s">
        <v>24</v>
      </c>
      <c r="V25" t="s">
        <v>26</v>
      </c>
      <c r="W25" t="s">
        <v>47</v>
      </c>
      <c r="Y25" s="33" t="s">
        <v>48</v>
      </c>
      <c r="Z25" s="33" t="s">
        <v>49</v>
      </c>
      <c r="AA25" t="s">
        <v>46</v>
      </c>
    </row>
    <row r="26" spans="1:27" x14ac:dyDescent="0.25">
      <c r="C26" s="32">
        <v>1.181194488635559</v>
      </c>
      <c r="T26">
        <f>A2</f>
        <v>700</v>
      </c>
      <c r="U26">
        <f>F2</f>
        <v>1.0278433443247732</v>
      </c>
      <c r="V26">
        <f t="shared" ref="V26:V43" si="9">U26/$U$2</f>
        <v>1</v>
      </c>
      <c r="W26">
        <f>D2</f>
        <v>0.10793166899936851</v>
      </c>
      <c r="X26">
        <f>W26/V26</f>
        <v>0.10793166899936851</v>
      </c>
      <c r="Y26">
        <f>X26/$X$26</f>
        <v>1</v>
      </c>
      <c r="Z26">
        <f t="shared" ref="Z26:Z39" si="10">D45/$D$45</f>
        <v>1</v>
      </c>
      <c r="AA26">
        <f>AVERAGE(Y26:Z26)</f>
        <v>1</v>
      </c>
    </row>
    <row r="27" spans="1:27" x14ac:dyDescent="0.25">
      <c r="C27" s="32">
        <v>0.94416290365191047</v>
      </c>
      <c r="T27">
        <f t="shared" ref="T27:T43" si="11">A3</f>
        <v>800</v>
      </c>
      <c r="U27">
        <f t="shared" ref="U27:U43" si="12">F3</f>
        <v>0.89348989807074153</v>
      </c>
      <c r="V27">
        <f t="shared" si="9"/>
        <v>0.8692860667962069</v>
      </c>
      <c r="W27">
        <f t="shared" ref="W27:W43" si="13">D3</f>
        <v>0.10281312375739535</v>
      </c>
      <c r="X27">
        <f>W27/V27</f>
        <v>0.11827306071557982</v>
      </c>
      <c r="Y27">
        <f t="shared" ref="Y27:Y43" si="14">X27/$X$26</f>
        <v>1.0958142481450168</v>
      </c>
      <c r="Z27">
        <f t="shared" si="10"/>
        <v>1.020053339150846</v>
      </c>
      <c r="AA27">
        <f t="shared" ref="AA27:AA43" si="15">AVERAGE(Y27:Z27)</f>
        <v>1.0579337936479314</v>
      </c>
    </row>
    <row r="28" spans="1:27" x14ac:dyDescent="0.25">
      <c r="C28" s="32">
        <v>0.64117599640145884</v>
      </c>
      <c r="T28">
        <f t="shared" si="11"/>
        <v>850</v>
      </c>
      <c r="U28">
        <f t="shared" si="12"/>
        <v>0.83298037430864358</v>
      </c>
      <c r="V28">
        <f t="shared" si="9"/>
        <v>0.81041569117311152</v>
      </c>
      <c r="W28">
        <f t="shared" si="13"/>
        <v>9.1034935012036328E-2</v>
      </c>
      <c r="X28">
        <f t="shared" ref="X28:X43" si="16">W28/V28</f>
        <v>0.1123311604199807</v>
      </c>
      <c r="Y28">
        <f t="shared" si="14"/>
        <v>1.0407618214505505</v>
      </c>
      <c r="Z28">
        <f t="shared" si="10"/>
        <v>0.95347585202538554</v>
      </c>
      <c r="AA28">
        <f t="shared" si="15"/>
        <v>0.99711883673796797</v>
      </c>
    </row>
    <row r="29" spans="1:27" x14ac:dyDescent="0.25">
      <c r="C29" s="32">
        <v>0.57070117567332213</v>
      </c>
      <c r="T29">
        <f t="shared" si="11"/>
        <v>875</v>
      </c>
      <c r="U29">
        <f t="shared" si="12"/>
        <v>0.81536499625835168</v>
      </c>
      <c r="V29">
        <f t="shared" si="9"/>
        <v>0.79327749774358258</v>
      </c>
      <c r="W29">
        <f t="shared" si="13"/>
        <v>8.4606279504493342E-2</v>
      </c>
      <c r="X29">
        <f t="shared" si="16"/>
        <v>0.10665407722411067</v>
      </c>
      <c r="Y29">
        <f t="shared" si="14"/>
        <v>0.98816295729416248</v>
      </c>
      <c r="Z29">
        <f t="shared" si="10"/>
        <v>0.9825759943027913</v>
      </c>
      <c r="AA29">
        <f t="shared" si="15"/>
        <v>0.98536947579847689</v>
      </c>
    </row>
    <row r="30" spans="1:27" x14ac:dyDescent="0.25">
      <c r="C30" s="32">
        <v>0.45409661415373409</v>
      </c>
      <c r="T30">
        <f t="shared" si="11"/>
        <v>900</v>
      </c>
      <c r="U30">
        <f t="shared" si="12"/>
        <v>0.74764600345313226</v>
      </c>
      <c r="V30">
        <f t="shared" si="9"/>
        <v>0.72739295105742741</v>
      </c>
      <c r="W30">
        <f t="shared" si="13"/>
        <v>8.443290055770955E-2</v>
      </c>
      <c r="X30">
        <f t="shared" si="16"/>
        <v>0.11607605000153982</v>
      </c>
      <c r="Y30">
        <f t="shared" si="14"/>
        <v>1.0754586774917654</v>
      </c>
      <c r="Z30">
        <f t="shared" si="10"/>
        <v>1.0077800964879513</v>
      </c>
      <c r="AA30">
        <f t="shared" si="15"/>
        <v>1.0416193869898582</v>
      </c>
    </row>
    <row r="31" spans="1:27" x14ac:dyDescent="0.25">
      <c r="C31">
        <v>0.42144057552390063</v>
      </c>
      <c r="T31">
        <f t="shared" si="11"/>
        <v>925</v>
      </c>
      <c r="U31">
        <f t="shared" si="12"/>
        <v>0.72670957259511448</v>
      </c>
      <c r="V31">
        <f t="shared" si="9"/>
        <v>0.70702366912976977</v>
      </c>
      <c r="W31">
        <f t="shared" si="13"/>
        <v>7.9441326917199323E-2</v>
      </c>
      <c r="X31">
        <f t="shared" si="16"/>
        <v>0.11236020855564648</v>
      </c>
      <c r="Y31">
        <f t="shared" si="14"/>
        <v>1.0410309559495821</v>
      </c>
      <c r="Z31">
        <f t="shared" si="10"/>
        <v>0.9642988322761844</v>
      </c>
      <c r="AA31">
        <f t="shared" si="15"/>
        <v>1.0026648941128833</v>
      </c>
    </row>
    <row r="32" spans="1:27" x14ac:dyDescent="0.25">
      <c r="C32">
        <v>0.35764753000970967</v>
      </c>
      <c r="T32">
        <f t="shared" si="11"/>
        <v>950</v>
      </c>
      <c r="U32">
        <f t="shared" si="12"/>
        <v>0.6950148708279964</v>
      </c>
      <c r="V32">
        <f t="shared" si="9"/>
        <v>0.67618754809817483</v>
      </c>
      <c r="W32">
        <f t="shared" si="13"/>
        <v>7.2054422663925505E-2</v>
      </c>
      <c r="X32">
        <f t="shared" si="16"/>
        <v>0.10655981889430477</v>
      </c>
      <c r="Y32">
        <f t="shared" si="14"/>
        <v>0.98728964243968309</v>
      </c>
      <c r="Z32">
        <f t="shared" si="10"/>
        <v>0.97956798733803507</v>
      </c>
      <c r="AA32">
        <f t="shared" si="15"/>
        <v>0.98342881488885903</v>
      </c>
    </row>
    <row r="33" spans="2:27" x14ac:dyDescent="0.25">
      <c r="C33">
        <v>0.20001617205391001</v>
      </c>
      <c r="T33">
        <f t="shared" si="11"/>
        <v>975</v>
      </c>
      <c r="U33">
        <f t="shared" si="12"/>
        <v>0.69727572560401585</v>
      </c>
      <c r="V33">
        <f t="shared" si="9"/>
        <v>0.67838715836806929</v>
      </c>
      <c r="W33">
        <f t="shared" si="13"/>
        <v>7.236908696541472E-2</v>
      </c>
      <c r="X33">
        <f t="shared" si="16"/>
        <v>0.10667814989232118</v>
      </c>
      <c r="Y33">
        <f t="shared" si="14"/>
        <v>0.98838599348394518</v>
      </c>
      <c r="Z33">
        <f t="shared" si="10"/>
        <v>0.94628013413314038</v>
      </c>
      <c r="AA33">
        <f t="shared" si="15"/>
        <v>0.96733306380854278</v>
      </c>
    </row>
    <row r="34" spans="2:27" x14ac:dyDescent="0.25">
      <c r="C34">
        <v>0.15101762584624809</v>
      </c>
      <c r="T34">
        <f t="shared" si="11"/>
        <v>1000</v>
      </c>
      <c r="U34">
        <f t="shared" si="12"/>
        <v>0.69620252256163662</v>
      </c>
      <c r="V34">
        <f t="shared" si="9"/>
        <v>0.6773430274231107</v>
      </c>
      <c r="W34">
        <f t="shared" si="13"/>
        <v>7.2083337071688139E-2</v>
      </c>
      <c r="X34">
        <f t="shared" si="16"/>
        <v>0.10642072650533153</v>
      </c>
      <c r="Y34">
        <f t="shared" si="14"/>
        <v>0.98600093459088622</v>
      </c>
      <c r="Z34">
        <f t="shared" si="10"/>
        <v>0.91343575684785794</v>
      </c>
      <c r="AA34">
        <f t="shared" si="15"/>
        <v>0.94971834571937208</v>
      </c>
    </row>
    <row r="35" spans="2:27" x14ac:dyDescent="0.25">
      <c r="C35">
        <v>0.11525254230400214</v>
      </c>
      <c r="T35">
        <f t="shared" si="11"/>
        <v>1025</v>
      </c>
      <c r="U35">
        <f t="shared" si="12"/>
        <v>0.64884051837580492</v>
      </c>
      <c r="V35">
        <f t="shared" si="9"/>
        <v>0.63126401699088819</v>
      </c>
      <c r="W35">
        <f t="shared" si="13"/>
        <v>6.5397365395852336E-2</v>
      </c>
      <c r="X35">
        <f t="shared" si="16"/>
        <v>0.10359748636963145</v>
      </c>
      <c r="Y35">
        <f t="shared" si="14"/>
        <v>0.95984327241560197</v>
      </c>
      <c r="Z35">
        <f t="shared" si="10"/>
        <v>0.97556798722492366</v>
      </c>
      <c r="AA35">
        <f t="shared" si="15"/>
        <v>0.96770562982026287</v>
      </c>
    </row>
    <row r="36" spans="2:27" x14ac:dyDescent="0.25">
      <c r="C36">
        <v>8.1468452676821845E-2</v>
      </c>
      <c r="T36">
        <f t="shared" si="11"/>
        <v>1050</v>
      </c>
      <c r="U36">
        <f t="shared" si="12"/>
        <v>0.65307586912856097</v>
      </c>
      <c r="V36">
        <f t="shared" si="9"/>
        <v>0.63538463593164551</v>
      </c>
      <c r="W36">
        <f t="shared" si="13"/>
        <v>6.3963613659767299E-2</v>
      </c>
      <c r="X36">
        <f t="shared" si="16"/>
        <v>0.10066912235921374</v>
      </c>
      <c r="Y36">
        <f t="shared" si="14"/>
        <v>0.9327116247947832</v>
      </c>
      <c r="Z36">
        <f t="shared" si="10"/>
        <v>0.95912292574724145</v>
      </c>
      <c r="AA36">
        <f t="shared" si="15"/>
        <v>0.94591727527101233</v>
      </c>
    </row>
    <row r="37" spans="2:27" x14ac:dyDescent="0.25">
      <c r="F37" t="s">
        <v>56</v>
      </c>
      <c r="T37">
        <f t="shared" si="11"/>
        <v>1075</v>
      </c>
      <c r="U37">
        <f t="shared" si="12"/>
        <v>0.61156510696105615</v>
      </c>
      <c r="V37">
        <f t="shared" si="9"/>
        <v>0.5949983626763814</v>
      </c>
      <c r="W37">
        <f t="shared" si="13"/>
        <v>6.6554024515669927E-2</v>
      </c>
      <c r="X37">
        <f t="shared" si="16"/>
        <v>0.11185581119299406</v>
      </c>
      <c r="Y37">
        <f t="shared" si="14"/>
        <v>1.0363576532263994</v>
      </c>
      <c r="Z37">
        <f t="shared" si="10"/>
        <v>0.97531023979632048</v>
      </c>
      <c r="AA37">
        <f t="shared" si="15"/>
        <v>1.0058339465113599</v>
      </c>
    </row>
    <row r="38" spans="2:27" x14ac:dyDescent="0.25">
      <c r="T38">
        <f t="shared" si="11"/>
        <v>1100</v>
      </c>
      <c r="U38">
        <f t="shared" si="12"/>
        <v>0.6327151002272009</v>
      </c>
      <c r="V38">
        <f t="shared" si="9"/>
        <v>0.61557542180015179</v>
      </c>
      <c r="W38">
        <f t="shared" si="13"/>
        <v>6.5782593520640045E-2</v>
      </c>
      <c r="X38">
        <f t="shared" si="16"/>
        <v>0.10686358030388766</v>
      </c>
      <c r="Y38">
        <f t="shared" si="14"/>
        <v>0.99010402873055636</v>
      </c>
      <c r="Z38">
        <f t="shared" si="10"/>
        <v>0.9239859317903496</v>
      </c>
      <c r="AA38">
        <f t="shared" si="15"/>
        <v>0.95704498026045304</v>
      </c>
    </row>
    <row r="39" spans="2:27" x14ac:dyDescent="0.25">
      <c r="T39">
        <f t="shared" si="11"/>
        <v>1125</v>
      </c>
      <c r="U39">
        <f t="shared" si="12"/>
        <v>0.62984710198817218</v>
      </c>
      <c r="V39">
        <f t="shared" si="9"/>
        <v>0.61278511503320687</v>
      </c>
      <c r="W39">
        <f t="shared" si="13"/>
        <v>5.6629429082768898E-2</v>
      </c>
      <c r="X39">
        <f t="shared" si="16"/>
        <v>9.2413192966836574E-2</v>
      </c>
      <c r="Y39">
        <f t="shared" si="14"/>
        <v>0.85621943794251221</v>
      </c>
      <c r="Z39">
        <f t="shared" si="10"/>
        <v>0.88060309535355852</v>
      </c>
      <c r="AA39">
        <f t="shared" si="15"/>
        <v>0.86841126664803536</v>
      </c>
    </row>
    <row r="40" spans="2:27" x14ac:dyDescent="0.25">
      <c r="T40">
        <f t="shared" si="11"/>
        <v>1150</v>
      </c>
      <c r="U40">
        <f t="shared" si="12"/>
        <v>0.50650501925300051</v>
      </c>
      <c r="V40">
        <f t="shared" si="9"/>
        <v>0.49278425749377369</v>
      </c>
      <c r="W40">
        <f t="shared" si="13"/>
        <v>5.3865256482246507E-2</v>
      </c>
      <c r="X40">
        <f t="shared" si="16"/>
        <v>0.10930798957782675</v>
      </c>
      <c r="Y40">
        <f t="shared" si="14"/>
        <v>1.0127517770383621</v>
      </c>
      <c r="Z40">
        <f t="shared" ref="Z40:Z43" si="17">D59/$D$45</f>
        <v>0.66330149553257611</v>
      </c>
      <c r="AA40">
        <f t="shared" si="15"/>
        <v>0.83802663628546914</v>
      </c>
    </row>
    <row r="41" spans="2:27" x14ac:dyDescent="0.25">
      <c r="T41">
        <f t="shared" si="11"/>
        <v>1175</v>
      </c>
      <c r="U41">
        <f t="shared" si="12"/>
        <v>0.57243178281456297</v>
      </c>
      <c r="V41">
        <f t="shared" si="9"/>
        <v>0.55692512480159484</v>
      </c>
      <c r="W41">
        <f t="shared" si="13"/>
        <v>5.8811274218340759E-2</v>
      </c>
      <c r="X41">
        <f t="shared" si="16"/>
        <v>0.10559996595465564</v>
      </c>
      <c r="Y41">
        <f t="shared" si="14"/>
        <v>0.97839648857161177</v>
      </c>
      <c r="Z41">
        <f t="shared" si="17"/>
        <v>0.90743498729775462</v>
      </c>
      <c r="AA41">
        <f t="shared" si="15"/>
        <v>0.9429157379346832</v>
      </c>
    </row>
    <row r="42" spans="2:27" x14ac:dyDescent="0.25">
      <c r="T42">
        <f t="shared" si="11"/>
        <v>0</v>
      </c>
      <c r="U42">
        <f t="shared" si="12"/>
        <v>0</v>
      </c>
      <c r="V42">
        <f t="shared" si="9"/>
        <v>0</v>
      </c>
      <c r="W42">
        <f t="shared" si="13"/>
        <v>0</v>
      </c>
      <c r="X42" t="e">
        <f t="shared" si="16"/>
        <v>#DIV/0!</v>
      </c>
      <c r="Y42" t="e">
        <f t="shared" si="14"/>
        <v>#DIV/0!</v>
      </c>
      <c r="Z42">
        <f t="shared" si="17"/>
        <v>0</v>
      </c>
      <c r="AA42" t="e">
        <f t="shared" si="15"/>
        <v>#DIV/0!</v>
      </c>
    </row>
    <row r="43" spans="2:27" x14ac:dyDescent="0.25">
      <c r="C43" t="s">
        <v>51</v>
      </c>
      <c r="T43">
        <f t="shared" si="11"/>
        <v>0</v>
      </c>
      <c r="U43">
        <f t="shared" si="12"/>
        <v>0</v>
      </c>
      <c r="V43">
        <f t="shared" si="9"/>
        <v>0</v>
      </c>
      <c r="W43">
        <f t="shared" si="13"/>
        <v>0</v>
      </c>
      <c r="X43" t="e">
        <f t="shared" si="16"/>
        <v>#DIV/0!</v>
      </c>
      <c r="Y43" t="e">
        <f t="shared" si="14"/>
        <v>#DIV/0!</v>
      </c>
      <c r="Z43">
        <f t="shared" si="17"/>
        <v>0</v>
      </c>
      <c r="AA43" t="e">
        <f t="shared" si="15"/>
        <v>#DIV/0!</v>
      </c>
    </row>
    <row r="44" spans="2:27" x14ac:dyDescent="0.25">
      <c r="C44">
        <v>31.98</v>
      </c>
    </row>
    <row r="45" spans="2:27" x14ac:dyDescent="0.25">
      <c r="B45" s="32">
        <v>700</v>
      </c>
      <c r="C45" s="32">
        <v>4.9242712545861735</v>
      </c>
      <c r="D45">
        <f>C45*V2</f>
        <v>4.9242712545861735</v>
      </c>
    </row>
    <row r="46" spans="2:27" x14ac:dyDescent="0.25">
      <c r="B46" s="32">
        <v>800</v>
      </c>
      <c r="C46" s="32">
        <v>4.3664407221415278</v>
      </c>
      <c r="D46">
        <f t="shared" ref="D46:D60" si="18">C46/V3</f>
        <v>5.0230193361251523</v>
      </c>
    </row>
    <row r="47" spans="2:27" x14ac:dyDescent="0.25">
      <c r="B47" s="32">
        <v>850</v>
      </c>
      <c r="C47" s="32">
        <v>3.8050424636330549</v>
      </c>
      <c r="D47">
        <f t="shared" si="18"/>
        <v>4.6951737300706657</v>
      </c>
    </row>
    <row r="48" spans="2:27" x14ac:dyDescent="0.25">
      <c r="B48" s="32">
        <v>875</v>
      </c>
      <c r="C48" s="32">
        <v>3.8382499489923427</v>
      </c>
      <c r="D48">
        <f t="shared" si="18"/>
        <v>4.8384707241916631</v>
      </c>
    </row>
    <row r="49" spans="2:4" x14ac:dyDescent="0.25">
      <c r="B49" s="32">
        <v>900</v>
      </c>
      <c r="C49" s="32">
        <v>3.6097475732424957</v>
      </c>
      <c r="D49">
        <f t="shared" si="18"/>
        <v>4.9625825600796993</v>
      </c>
    </row>
    <row r="50" spans="2:4" x14ac:dyDescent="0.25">
      <c r="B50" s="32">
        <v>925</v>
      </c>
      <c r="C50">
        <v>3.3572799896997569</v>
      </c>
      <c r="D50">
        <f t="shared" si="18"/>
        <v>4.7484690206086286</v>
      </c>
    </row>
    <row r="51" spans="2:4" x14ac:dyDescent="0.25">
      <c r="B51" s="32">
        <v>950</v>
      </c>
      <c r="C51">
        <v>3.2616978017805236</v>
      </c>
      <c r="D51">
        <f t="shared" si="18"/>
        <v>4.8236584819615187</v>
      </c>
    </row>
    <row r="52" spans="2:4" x14ac:dyDescent="0.25">
      <c r="B52" s="32">
        <v>975</v>
      </c>
      <c r="C52">
        <v>3.1611078202744225</v>
      </c>
      <c r="D52">
        <f t="shared" si="18"/>
        <v>4.6597400632977717</v>
      </c>
    </row>
    <row r="53" spans="2:4" x14ac:dyDescent="0.25">
      <c r="B53" s="32">
        <v>1000</v>
      </c>
      <c r="C53">
        <v>3.0466926223370816</v>
      </c>
      <c r="D53">
        <f t="shared" si="18"/>
        <v>4.4980054403570726</v>
      </c>
    </row>
    <row r="54" spans="2:4" x14ac:dyDescent="0.25">
      <c r="B54" s="32">
        <v>1025</v>
      </c>
      <c r="C54">
        <v>3.032567968551898</v>
      </c>
      <c r="D54">
        <f t="shared" si="18"/>
        <v>4.8039613963861827</v>
      </c>
    </row>
    <row r="55" spans="2:4" x14ac:dyDescent="0.25">
      <c r="B55" s="32">
        <v>1050</v>
      </c>
      <c r="C55">
        <v>3.0009098509448182</v>
      </c>
      <c r="D55">
        <f t="shared" si="18"/>
        <v>4.7229814528717302</v>
      </c>
    </row>
    <row r="56" spans="2:4" x14ac:dyDescent="0.25">
      <c r="B56" s="32">
        <v>1075</v>
      </c>
      <c r="C56">
        <v>2.8575939824275425</v>
      </c>
      <c r="D56">
        <f t="shared" si="18"/>
        <v>4.8026921781325687</v>
      </c>
    </row>
    <row r="57" spans="2:4" x14ac:dyDescent="0.25">
      <c r="B57" s="32">
        <v>1100</v>
      </c>
      <c r="C57">
        <v>2.8008419232444544</v>
      </c>
      <c r="D57">
        <f t="shared" si="18"/>
        <v>4.5499573635572395</v>
      </c>
    </row>
    <row r="58" spans="2:4" x14ac:dyDescent="0.25">
      <c r="B58" s="32">
        <v>1125</v>
      </c>
      <c r="C58">
        <v>2.6572375643007273</v>
      </c>
      <c r="D58">
        <f t="shared" si="18"/>
        <v>4.3363285091491353</v>
      </c>
    </row>
    <row r="59" spans="2:4" x14ac:dyDescent="0.25">
      <c r="B59" s="32">
        <v>1150</v>
      </c>
      <c r="C59">
        <v>1.6095696336990588</v>
      </c>
      <c r="D59">
        <f t="shared" si="18"/>
        <v>3.2662764875750838</v>
      </c>
    </row>
    <row r="60" spans="2:4" x14ac:dyDescent="0.25">
      <c r="B60" s="32">
        <v>1175</v>
      </c>
      <c r="C60">
        <v>2.4885954284780354</v>
      </c>
      <c r="D60">
        <f t="shared" si="18"/>
        <v>4.4684560233561026</v>
      </c>
    </row>
    <row r="65" spans="2:2" ht="87" x14ac:dyDescent="0.25">
      <c r="B65" s="18" t="s">
        <v>53</v>
      </c>
    </row>
    <row r="66" spans="2:2" ht="90" x14ac:dyDescent="0.25">
      <c r="B66" s="18" t="s">
        <v>54</v>
      </c>
    </row>
    <row r="67" spans="2:2" ht="105" x14ac:dyDescent="0.25">
      <c r="B67" s="18" t="s">
        <v>55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C7"/>
  <sheetViews>
    <sheetView workbookViewId="0"/>
  </sheetViews>
  <sheetFormatPr defaultRowHeight="15" x14ac:dyDescent="0.25"/>
  <cols>
    <col min="1" max="16384" width="9.140625" style="32"/>
  </cols>
  <sheetData>
    <row r="1" spans="1:29" x14ac:dyDescent="0.25">
      <c r="A1" s="32" t="s">
        <v>65</v>
      </c>
      <c r="B1" s="32" t="s">
        <v>29</v>
      </c>
      <c r="M1" s="32" t="s">
        <v>30</v>
      </c>
      <c r="N1" s="32" t="s">
        <v>42</v>
      </c>
      <c r="O1" s="32" t="s">
        <v>45</v>
      </c>
      <c r="P1" s="32" t="s">
        <v>27</v>
      </c>
      <c r="Q1" s="32" t="s">
        <v>44</v>
      </c>
      <c r="V1" s="32" t="s">
        <v>28</v>
      </c>
    </row>
    <row r="2" spans="1:29" x14ac:dyDescent="0.25">
      <c r="A2" s="32" t="s">
        <v>31</v>
      </c>
      <c r="B2" s="32" t="s">
        <v>32</v>
      </c>
      <c r="C2" s="32" t="s">
        <v>33</v>
      </c>
      <c r="D2" s="32" t="s">
        <v>34</v>
      </c>
      <c r="E2" s="32" t="s">
        <v>35</v>
      </c>
      <c r="F2" s="32" t="s">
        <v>36</v>
      </c>
      <c r="G2" s="32" t="s">
        <v>37</v>
      </c>
      <c r="H2" s="32" t="s">
        <v>22</v>
      </c>
      <c r="I2" s="32" t="s">
        <v>38</v>
      </c>
      <c r="J2" s="32" t="s">
        <v>39</v>
      </c>
      <c r="K2" s="32" t="s">
        <v>40</v>
      </c>
      <c r="L2" s="32" t="s">
        <v>41</v>
      </c>
      <c r="M2" s="32" t="s">
        <v>32</v>
      </c>
      <c r="N2" s="32">
        <v>18.001999999999999</v>
      </c>
      <c r="O2" s="32">
        <v>27.988</v>
      </c>
      <c r="P2" s="32">
        <v>31.98</v>
      </c>
      <c r="Q2" s="32">
        <v>43.985999999999997</v>
      </c>
      <c r="R2" s="32">
        <v>44.98</v>
      </c>
      <c r="S2" s="32">
        <v>49.987000000000002</v>
      </c>
      <c r="T2" s="32">
        <v>69.076999999999998</v>
      </c>
      <c r="U2" s="32">
        <v>77.986000000000004</v>
      </c>
      <c r="V2" s="32">
        <v>83.88</v>
      </c>
      <c r="W2" s="32">
        <v>99.974000000000004</v>
      </c>
      <c r="X2" s="32">
        <v>112.093</v>
      </c>
      <c r="Y2" s="32">
        <v>118.967</v>
      </c>
      <c r="Z2" s="32">
        <v>130.96100000000001</v>
      </c>
      <c r="AA2" s="32">
        <v>148.97999999999999</v>
      </c>
      <c r="AB2" s="32">
        <v>167.01599999999999</v>
      </c>
      <c r="AC2" s="32">
        <v>249.917</v>
      </c>
    </row>
    <row r="3" spans="1:29" x14ac:dyDescent="0.25">
      <c r="A3" s="32">
        <v>1</v>
      </c>
      <c r="B3" s="32">
        <v>8.9999897437360001</v>
      </c>
      <c r="C3" s="32">
        <v>44.536718</v>
      </c>
      <c r="D3" s="32">
        <v>396.70299999999997</v>
      </c>
      <c r="E3" s="32">
        <v>42.284999999999997</v>
      </c>
      <c r="F3" s="32">
        <v>270</v>
      </c>
      <c r="G3" s="32">
        <v>0</v>
      </c>
      <c r="H3" s="32">
        <v>200</v>
      </c>
      <c r="I3" s="34">
        <v>1.7409999999999998E-2</v>
      </c>
      <c r="J3" s="34">
        <v>1.7100000000000001E-4</v>
      </c>
      <c r="K3" s="34">
        <v>1.446E-5</v>
      </c>
      <c r="L3" s="32">
        <v>2748.8901124509639</v>
      </c>
      <c r="M3" s="32">
        <v>8.9999897437360001</v>
      </c>
      <c r="N3" s="32">
        <v>0</v>
      </c>
      <c r="O3" s="32">
        <v>0</v>
      </c>
      <c r="P3" s="32">
        <v>0</v>
      </c>
      <c r="Q3" s="32">
        <v>0</v>
      </c>
      <c r="R3" s="32">
        <v>0</v>
      </c>
      <c r="S3" s="32">
        <v>0</v>
      </c>
      <c r="T3" s="32">
        <v>0</v>
      </c>
      <c r="U3" s="32">
        <v>0</v>
      </c>
      <c r="V3" s="32">
        <v>3.6378318488270909E-4</v>
      </c>
      <c r="W3" s="32">
        <v>0</v>
      </c>
      <c r="X3" s="32">
        <v>0</v>
      </c>
      <c r="Y3" s="32">
        <v>0</v>
      </c>
      <c r="Z3" s="32">
        <v>1.0913495546481273E-3</v>
      </c>
      <c r="AA3" s="32">
        <v>0</v>
      </c>
      <c r="AB3" s="32">
        <v>0</v>
      </c>
      <c r="AC3" s="32">
        <v>0</v>
      </c>
    </row>
    <row r="4" spans="1:29" x14ac:dyDescent="0.25">
      <c r="A4" s="32">
        <v>2</v>
      </c>
      <c r="B4" s="32">
        <v>9.0498997713300007</v>
      </c>
      <c r="C4" s="32">
        <v>40.742685000000002</v>
      </c>
      <c r="D4" s="32">
        <v>401.00299999999999</v>
      </c>
      <c r="E4" s="32">
        <v>42.374000000000002</v>
      </c>
      <c r="F4" s="32">
        <v>270</v>
      </c>
      <c r="G4" s="32">
        <v>0</v>
      </c>
      <c r="H4" s="32">
        <v>200</v>
      </c>
      <c r="I4" s="34">
        <v>1.754E-2</v>
      </c>
      <c r="J4" s="34">
        <v>1.716E-4</v>
      </c>
      <c r="K4" s="34">
        <v>1.451E-5</v>
      </c>
      <c r="L4" s="32">
        <v>2767.9103212435462</v>
      </c>
      <c r="M4" s="32">
        <v>9.0498997713300007</v>
      </c>
      <c r="N4" s="32">
        <v>0</v>
      </c>
      <c r="O4" s="32">
        <v>0</v>
      </c>
      <c r="P4" s="32">
        <v>0</v>
      </c>
      <c r="Q4" s="32">
        <v>0</v>
      </c>
      <c r="R4" s="32">
        <v>3.6128338130215413E-4</v>
      </c>
      <c r="S4" s="32">
        <v>0</v>
      </c>
      <c r="T4" s="32">
        <v>0</v>
      </c>
      <c r="U4" s="32">
        <v>0</v>
      </c>
      <c r="V4" s="32">
        <v>0</v>
      </c>
      <c r="W4" s="32">
        <v>0</v>
      </c>
      <c r="X4" s="32">
        <v>1.5354543705341551E-4</v>
      </c>
      <c r="Y4" s="32">
        <v>0</v>
      </c>
      <c r="Z4" s="32">
        <v>2.1677002878129248E-3</v>
      </c>
      <c r="AA4" s="32">
        <v>0</v>
      </c>
      <c r="AB4" s="32">
        <v>0</v>
      </c>
      <c r="AC4" s="32">
        <v>0</v>
      </c>
    </row>
    <row r="5" spans="1:29" x14ac:dyDescent="0.25">
      <c r="A5" s="32">
        <v>3</v>
      </c>
      <c r="B5" s="32">
        <v>9.0999967393749994</v>
      </c>
      <c r="C5" s="32">
        <v>37.063296000000001</v>
      </c>
      <c r="D5" s="32">
        <v>398.036</v>
      </c>
      <c r="E5" s="32">
        <v>42.465000000000003</v>
      </c>
      <c r="F5" s="32">
        <v>270</v>
      </c>
      <c r="G5" s="32">
        <v>0</v>
      </c>
      <c r="H5" s="32">
        <v>200</v>
      </c>
      <c r="I5" s="34">
        <v>1.7520000000000001E-2</v>
      </c>
      <c r="J5" s="34">
        <v>1.718E-4</v>
      </c>
      <c r="K5" s="34">
        <v>1.4630000000000001E-5</v>
      </c>
      <c r="L5" s="32">
        <v>2736.7775165020857</v>
      </c>
      <c r="M5" s="32">
        <v>9.0999967393749994</v>
      </c>
      <c r="N5" s="32">
        <v>0</v>
      </c>
      <c r="O5" s="32">
        <v>0</v>
      </c>
      <c r="P5" s="32">
        <v>0</v>
      </c>
      <c r="Q5" s="32">
        <v>0</v>
      </c>
      <c r="R5" s="32">
        <v>3.6539323856990547E-4</v>
      </c>
      <c r="S5" s="32">
        <v>0</v>
      </c>
      <c r="T5" s="32">
        <v>0</v>
      </c>
      <c r="U5" s="32">
        <v>0</v>
      </c>
      <c r="V5" s="32">
        <v>0</v>
      </c>
      <c r="W5" s="32">
        <v>3.6539323856990547E-4</v>
      </c>
      <c r="X5" s="32">
        <v>3.6539323856990547E-4</v>
      </c>
      <c r="Y5" s="32">
        <v>0</v>
      </c>
      <c r="Z5" s="32">
        <v>3.2885391471291492E-3</v>
      </c>
      <c r="AA5" s="32">
        <v>0</v>
      </c>
      <c r="AB5" s="32">
        <v>0</v>
      </c>
      <c r="AC5" s="32">
        <v>0</v>
      </c>
    </row>
    <row r="6" spans="1:29" x14ac:dyDescent="0.25">
      <c r="A6" s="32">
        <v>4</v>
      </c>
      <c r="B6" s="32">
        <v>9.1498388581590007</v>
      </c>
      <c r="C6" s="32">
        <v>32.574160999999997</v>
      </c>
      <c r="D6" s="32">
        <v>395.12200000000001</v>
      </c>
      <c r="E6" s="32">
        <v>42.554000000000002</v>
      </c>
      <c r="F6" s="32">
        <v>270</v>
      </c>
      <c r="G6" s="32">
        <v>0</v>
      </c>
      <c r="H6" s="32">
        <v>200</v>
      </c>
      <c r="I6" s="34">
        <v>1.7389999999999999E-2</v>
      </c>
      <c r="J6" s="34">
        <v>1.739E-4</v>
      </c>
      <c r="K6" s="34">
        <v>1.4579999999999999E-5</v>
      </c>
      <c r="L6" s="32">
        <v>2706.3013958266342</v>
      </c>
      <c r="M6" s="32">
        <v>9.1498388581590007</v>
      </c>
      <c r="N6" s="32">
        <v>0</v>
      </c>
      <c r="O6" s="32">
        <v>0</v>
      </c>
      <c r="P6" s="32">
        <v>0</v>
      </c>
      <c r="Q6" s="32">
        <v>0</v>
      </c>
      <c r="R6" s="32">
        <v>0</v>
      </c>
      <c r="S6" s="32">
        <v>0</v>
      </c>
      <c r="T6" s="32">
        <v>0</v>
      </c>
      <c r="U6" s="32">
        <v>0</v>
      </c>
      <c r="V6" s="32">
        <v>0</v>
      </c>
      <c r="W6" s="32">
        <v>0</v>
      </c>
      <c r="X6" s="32">
        <v>3.6950799402538537E-4</v>
      </c>
      <c r="Y6" s="32">
        <v>0</v>
      </c>
      <c r="Z6" s="32">
        <v>2.956063952203083E-3</v>
      </c>
      <c r="AA6" s="32">
        <v>0</v>
      </c>
      <c r="AB6" s="32">
        <v>0</v>
      </c>
      <c r="AC6" s="32">
        <v>0</v>
      </c>
    </row>
    <row r="7" spans="1:29" x14ac:dyDescent="0.25">
      <c r="A7" s="32">
        <v>5</v>
      </c>
      <c r="B7" s="32">
        <v>9.1995071281970002</v>
      </c>
      <c r="C7" s="32">
        <v>29.567101999999998</v>
      </c>
      <c r="D7" s="32">
        <v>397.33800000000002</v>
      </c>
      <c r="E7" s="32">
        <v>42.642000000000003</v>
      </c>
      <c r="F7" s="32">
        <v>270</v>
      </c>
      <c r="G7" s="32">
        <v>0</v>
      </c>
      <c r="H7" s="32">
        <v>200</v>
      </c>
      <c r="I7" s="34">
        <v>1.7479999999999999E-2</v>
      </c>
      <c r="J7" s="34">
        <v>1.7249999999999999E-4</v>
      </c>
      <c r="K7" s="34">
        <v>1.4620000000000001E-5</v>
      </c>
      <c r="L7" s="32">
        <v>2698.2624347592696</v>
      </c>
      <c r="M7" s="32">
        <v>9.1995071281970002</v>
      </c>
      <c r="N7" s="32">
        <v>0</v>
      </c>
      <c r="O7" s="32">
        <v>0</v>
      </c>
      <c r="P7" s="32">
        <v>3.7060887299838086E-4</v>
      </c>
      <c r="Q7" s="32">
        <v>0</v>
      </c>
      <c r="R7" s="32">
        <v>7.4121774599676172E-4</v>
      </c>
      <c r="S7" s="32">
        <v>1.0191744007455474E-4</v>
      </c>
      <c r="T7" s="32">
        <v>0</v>
      </c>
      <c r="U7" s="32">
        <v>0</v>
      </c>
      <c r="V7" s="32">
        <v>0</v>
      </c>
      <c r="W7" s="32">
        <v>0</v>
      </c>
      <c r="X7" s="32">
        <v>7.4121774599676172E-4</v>
      </c>
      <c r="Y7" s="32">
        <v>0</v>
      </c>
      <c r="Z7" s="32">
        <v>1.8530443649919042E-3</v>
      </c>
      <c r="AA7" s="32">
        <v>3.7060887299838086E-4</v>
      </c>
      <c r="AB7" s="32">
        <v>0</v>
      </c>
      <c r="AC7" s="32">
        <v>0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2285" r:id="rId3" name="ScaleDefault">
          <controlPr defaultSize="0" print="0" autoLine="0" r:id="rId4">
            <anchor moveWithCells="1">
              <from>
                <xdr:col>14</xdr:col>
                <xdr:colOff>457200</xdr:colOff>
                <xdr:row>18</xdr:row>
                <xdr:rowOff>123825</xdr:rowOff>
              </from>
              <to>
                <xdr:col>15</xdr:col>
                <xdr:colOff>276225</xdr:colOff>
                <xdr:row>20</xdr:row>
                <xdr:rowOff>19050</xdr:rowOff>
              </to>
            </anchor>
          </controlPr>
        </control>
      </mc:Choice>
      <mc:Fallback>
        <control shapeId="182285" r:id="rId3" name="ScaleDefault"/>
      </mc:Fallback>
    </mc:AlternateContent>
    <mc:AlternateContent xmlns:mc="http://schemas.openxmlformats.org/markup-compatibility/2006">
      <mc:Choice Requires="x14">
        <control shapeId="182284" r:id="rId5" name="ScaleYes">
          <controlPr defaultSize="0" print="0" autoLine="0" r:id="rId6">
            <anchor moveWithCells="1">
              <from>
                <xdr:col>13</xdr:col>
                <xdr:colOff>552450</xdr:colOff>
                <xdr:row>18</xdr:row>
                <xdr:rowOff>123825</xdr:rowOff>
              </from>
              <to>
                <xdr:col>14</xdr:col>
                <xdr:colOff>381000</xdr:colOff>
                <xdr:row>20</xdr:row>
                <xdr:rowOff>19050</xdr:rowOff>
              </to>
            </anchor>
          </controlPr>
        </control>
      </mc:Choice>
      <mc:Fallback>
        <control shapeId="182284" r:id="rId5" name="ScaleYes"/>
      </mc:Fallback>
    </mc:AlternateContent>
    <mc:AlternateContent xmlns:mc="http://schemas.openxmlformats.org/markup-compatibility/2006">
      <mc:Choice Requires="x14">
        <control shapeId="182283" r:id="rId7" name="YScaleMax">
          <controlPr defaultSize="0" print="0" autoLine="0" r:id="rId8">
            <anchor moveWithCells="1">
              <from>
                <xdr:col>14</xdr:col>
                <xdr:colOff>247650</xdr:colOff>
                <xdr:row>17</xdr:row>
                <xdr:rowOff>9525</xdr:rowOff>
              </from>
              <to>
                <xdr:col>15</xdr:col>
                <xdr:colOff>276225</xdr:colOff>
                <xdr:row>18</xdr:row>
                <xdr:rowOff>47625</xdr:rowOff>
              </to>
            </anchor>
          </controlPr>
        </control>
      </mc:Choice>
      <mc:Fallback>
        <control shapeId="182283" r:id="rId7" name="YScaleMax"/>
      </mc:Fallback>
    </mc:AlternateContent>
    <mc:AlternateContent xmlns:mc="http://schemas.openxmlformats.org/markup-compatibility/2006">
      <mc:Choice Requires="x14">
        <control shapeId="182282" r:id="rId9" name="YScaleMin">
          <controlPr defaultSize="0" print="0" autoLine="0" r:id="rId10">
            <anchor moveWithCells="1">
              <from>
                <xdr:col>12</xdr:col>
                <xdr:colOff>533400</xdr:colOff>
                <xdr:row>17</xdr:row>
                <xdr:rowOff>9525</xdr:rowOff>
              </from>
              <to>
                <xdr:col>13</xdr:col>
                <xdr:colOff>552450</xdr:colOff>
                <xdr:row>18</xdr:row>
                <xdr:rowOff>47625</xdr:rowOff>
              </to>
            </anchor>
          </controlPr>
        </control>
      </mc:Choice>
      <mc:Fallback>
        <control shapeId="182282" r:id="rId9" name="YScaleMin"/>
      </mc:Fallback>
    </mc:AlternateContent>
    <mc:AlternateContent xmlns:mc="http://schemas.openxmlformats.org/markup-compatibility/2006">
      <mc:Choice Requires="x14">
        <control shapeId="182281" r:id="rId11" name="Label4">
          <controlPr defaultSize="0" print="0" autoLine="0" r:id="rId12">
            <anchor moveWithCells="1">
              <from>
                <xdr:col>13</xdr:col>
                <xdr:colOff>571500</xdr:colOff>
                <xdr:row>17</xdr:row>
                <xdr:rowOff>38100</xdr:rowOff>
              </from>
              <to>
                <xdr:col>14</xdr:col>
                <xdr:colOff>238125</xdr:colOff>
                <xdr:row>18</xdr:row>
                <xdr:rowOff>76200</xdr:rowOff>
              </to>
            </anchor>
          </controlPr>
        </control>
      </mc:Choice>
      <mc:Fallback>
        <control shapeId="182281" r:id="rId11" name="Label4"/>
      </mc:Fallback>
    </mc:AlternateContent>
    <mc:AlternateContent xmlns:mc="http://schemas.openxmlformats.org/markup-compatibility/2006">
      <mc:Choice Requires="x14">
        <control shapeId="182280" r:id="rId13" name="YScaleLogarithmic">
          <controlPr defaultSize="0" print="0" autoLine="0" r:id="rId14">
            <anchor moveWithCells="1">
              <from>
                <xdr:col>14</xdr:col>
                <xdr:colOff>161925</xdr:colOff>
                <xdr:row>15</xdr:row>
                <xdr:rowOff>161925</xdr:rowOff>
              </from>
              <to>
                <xdr:col>15</xdr:col>
                <xdr:colOff>342900</xdr:colOff>
                <xdr:row>17</xdr:row>
                <xdr:rowOff>9525</xdr:rowOff>
              </to>
            </anchor>
          </controlPr>
        </control>
      </mc:Choice>
      <mc:Fallback>
        <control shapeId="182280" r:id="rId13" name="YScaleLogarithmic"/>
      </mc:Fallback>
    </mc:AlternateContent>
    <mc:AlternateContent xmlns:mc="http://schemas.openxmlformats.org/markup-compatibility/2006">
      <mc:Choice Requires="x14">
        <control shapeId="182279" r:id="rId15" name="Label3">
          <controlPr defaultSize="0" print="0" autoLine="0" r:id="rId16">
            <anchor moveWithCells="1">
              <from>
                <xdr:col>13</xdr:col>
                <xdr:colOff>47625</xdr:colOff>
                <xdr:row>16</xdr:row>
                <xdr:rowOff>0</xdr:rowOff>
              </from>
              <to>
                <xdr:col>14</xdr:col>
                <xdr:colOff>76200</xdr:colOff>
                <xdr:row>17</xdr:row>
                <xdr:rowOff>38100</xdr:rowOff>
              </to>
            </anchor>
          </controlPr>
        </control>
      </mc:Choice>
      <mc:Fallback>
        <control shapeId="182279" r:id="rId15" name="Label3"/>
      </mc:Fallback>
    </mc:AlternateContent>
    <mc:AlternateContent xmlns:mc="http://schemas.openxmlformats.org/markup-compatibility/2006">
      <mc:Choice Requires="x14">
        <control shapeId="182278" r:id="rId17" name="XScaleMax">
          <controlPr defaultSize="0" print="0" autoLine="0" r:id="rId18">
            <anchor moveWithCells="1">
              <from>
                <xdr:col>14</xdr:col>
                <xdr:colOff>247650</xdr:colOff>
                <xdr:row>14</xdr:row>
                <xdr:rowOff>76200</xdr:rowOff>
              </from>
              <to>
                <xdr:col>15</xdr:col>
                <xdr:colOff>276225</xdr:colOff>
                <xdr:row>15</xdr:row>
                <xdr:rowOff>114300</xdr:rowOff>
              </to>
            </anchor>
          </controlPr>
        </control>
      </mc:Choice>
      <mc:Fallback>
        <control shapeId="182278" r:id="rId17" name="XScaleMax"/>
      </mc:Fallback>
    </mc:AlternateContent>
    <mc:AlternateContent xmlns:mc="http://schemas.openxmlformats.org/markup-compatibility/2006">
      <mc:Choice Requires="x14">
        <control shapeId="182277" r:id="rId19" name="XScaleMin">
          <controlPr defaultSize="0" print="0" autoLine="0" r:id="rId20">
            <anchor moveWithCells="1">
              <from>
                <xdr:col>12</xdr:col>
                <xdr:colOff>533400</xdr:colOff>
                <xdr:row>14</xdr:row>
                <xdr:rowOff>76200</xdr:rowOff>
              </from>
              <to>
                <xdr:col>13</xdr:col>
                <xdr:colOff>552450</xdr:colOff>
                <xdr:row>15</xdr:row>
                <xdr:rowOff>114300</xdr:rowOff>
              </to>
            </anchor>
          </controlPr>
        </control>
      </mc:Choice>
      <mc:Fallback>
        <control shapeId="182277" r:id="rId19" name="XScaleMin"/>
      </mc:Fallback>
    </mc:AlternateContent>
    <mc:AlternateContent xmlns:mc="http://schemas.openxmlformats.org/markup-compatibility/2006">
      <mc:Choice Requires="x14">
        <control shapeId="182276" r:id="rId21" name="Label2">
          <controlPr defaultSize="0" print="0" autoLine="0" r:id="rId22">
            <anchor moveWithCells="1">
              <from>
                <xdr:col>13</xdr:col>
                <xdr:colOff>571500</xdr:colOff>
                <xdr:row>14</xdr:row>
                <xdr:rowOff>95250</xdr:rowOff>
              </from>
              <to>
                <xdr:col>14</xdr:col>
                <xdr:colOff>238125</xdr:colOff>
                <xdr:row>15</xdr:row>
                <xdr:rowOff>133350</xdr:rowOff>
              </to>
            </anchor>
          </controlPr>
        </control>
      </mc:Choice>
      <mc:Fallback>
        <control shapeId="182276" r:id="rId21" name="Label2"/>
      </mc:Fallback>
    </mc:AlternateContent>
    <mc:AlternateContent xmlns:mc="http://schemas.openxmlformats.org/markup-compatibility/2006">
      <mc:Choice Requires="x14">
        <control shapeId="182275" r:id="rId23" name="Label1">
          <controlPr defaultSize="0" print="0" autoLine="0" r:id="rId24">
            <anchor moveWithCells="1">
              <from>
                <xdr:col>13</xdr:col>
                <xdr:colOff>390525</xdr:colOff>
                <xdr:row>13</xdr:row>
                <xdr:rowOff>57150</xdr:rowOff>
              </from>
              <to>
                <xdr:col>14</xdr:col>
                <xdr:colOff>419100</xdr:colOff>
                <xdr:row>14</xdr:row>
                <xdr:rowOff>95250</xdr:rowOff>
              </to>
            </anchor>
          </controlPr>
        </control>
      </mc:Choice>
      <mc:Fallback>
        <control shapeId="182275" r:id="rId23" name="Label1"/>
      </mc:Fallback>
    </mc:AlternateContent>
    <mc:AlternateContent xmlns:mc="http://schemas.openxmlformats.org/markup-compatibility/2006">
      <mc:Choice Requires="x14">
        <control shapeId="182274" r:id="rId25" name="FmlListBox">
          <controlPr defaultSize="0" print="0" autoLine="0" r:id="rId26">
            <anchor moveWithCells="1">
              <from>
                <xdr:col>12</xdr:col>
                <xdr:colOff>428625</xdr:colOff>
                <xdr:row>4</xdr:row>
                <xdr:rowOff>76200</xdr:rowOff>
              </from>
              <to>
                <xdr:col>15</xdr:col>
                <xdr:colOff>381000</xdr:colOff>
                <xdr:row>13</xdr:row>
                <xdr:rowOff>19050</xdr:rowOff>
              </to>
            </anchor>
          </controlPr>
        </control>
      </mc:Choice>
      <mc:Fallback>
        <control shapeId="182274" r:id="rId25" name="FmlListBox"/>
      </mc:Fallback>
    </mc:AlternateContent>
    <mc:AlternateContent xmlns:mc="http://schemas.openxmlformats.org/markup-compatibility/2006">
      <mc:Choice Requires="x14">
        <control shapeId="182273" r:id="rId27" name="RngCopy">
          <controlPr defaultSize="0" print="0" autoLine="0" r:id="rId28">
            <anchor moveWithCells="1">
              <from>
                <xdr:col>0</xdr:col>
                <xdr:colOff>581025</xdr:colOff>
                <xdr:row>2</xdr:row>
                <xdr:rowOff>152400</xdr:rowOff>
              </from>
              <to>
                <xdr:col>3</xdr:col>
                <xdr:colOff>19050</xdr:colOff>
                <xdr:row>4</xdr:row>
                <xdr:rowOff>47625</xdr:rowOff>
              </to>
            </anchor>
          </controlPr>
        </control>
      </mc:Choice>
      <mc:Fallback>
        <control shapeId="182273" r:id="rId27" name="RngCop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C8"/>
  <sheetViews>
    <sheetView workbookViewId="0">
      <selection activeCell="C39" sqref="C39"/>
    </sheetView>
  </sheetViews>
  <sheetFormatPr defaultRowHeight="15" x14ac:dyDescent="0.25"/>
  <cols>
    <col min="1" max="16384" width="9.140625" style="32"/>
  </cols>
  <sheetData>
    <row r="1" spans="1:29" x14ac:dyDescent="0.25">
      <c r="A1" s="32" t="s">
        <v>65</v>
      </c>
      <c r="B1" s="32" t="s">
        <v>29</v>
      </c>
      <c r="M1" s="32" t="s">
        <v>30</v>
      </c>
      <c r="N1" s="32" t="s">
        <v>42</v>
      </c>
      <c r="O1" s="32" t="s">
        <v>45</v>
      </c>
      <c r="P1" s="32" t="s">
        <v>27</v>
      </c>
      <c r="Q1" s="32" t="s">
        <v>44</v>
      </c>
      <c r="V1" s="32" t="s">
        <v>28</v>
      </c>
    </row>
    <row r="2" spans="1:29" x14ac:dyDescent="0.25">
      <c r="A2" s="32" t="s">
        <v>31</v>
      </c>
      <c r="B2" s="32" t="s">
        <v>32</v>
      </c>
      <c r="C2" s="32" t="s">
        <v>33</v>
      </c>
      <c r="D2" s="32" t="s">
        <v>34</v>
      </c>
      <c r="E2" s="32" t="s">
        <v>35</v>
      </c>
      <c r="F2" s="32" t="s">
        <v>36</v>
      </c>
      <c r="G2" s="32" t="s">
        <v>37</v>
      </c>
      <c r="H2" s="32" t="s">
        <v>22</v>
      </c>
      <c r="I2" s="32" t="s">
        <v>38</v>
      </c>
      <c r="J2" s="32" t="s">
        <v>39</v>
      </c>
      <c r="K2" s="32" t="s">
        <v>40</v>
      </c>
      <c r="L2" s="32" t="s">
        <v>41</v>
      </c>
      <c r="M2" s="32" t="s">
        <v>32</v>
      </c>
      <c r="N2" s="32">
        <v>18.001999999999999</v>
      </c>
      <c r="O2" s="32">
        <v>27.988</v>
      </c>
      <c r="P2" s="32">
        <v>31.98</v>
      </c>
      <c r="Q2" s="32">
        <v>43.985999999999997</v>
      </c>
      <c r="R2" s="32">
        <v>44.98</v>
      </c>
      <c r="S2" s="32">
        <v>49.987000000000002</v>
      </c>
      <c r="T2" s="32">
        <v>69.076999999999998</v>
      </c>
      <c r="U2" s="32">
        <v>77.986000000000004</v>
      </c>
      <c r="V2" s="32">
        <v>83.88</v>
      </c>
      <c r="W2" s="32">
        <v>99.974000000000004</v>
      </c>
      <c r="X2" s="32">
        <v>112.093</v>
      </c>
      <c r="Y2" s="32">
        <v>118.967</v>
      </c>
      <c r="Z2" s="32">
        <v>130.96100000000001</v>
      </c>
      <c r="AA2" s="32">
        <v>148.97999999999999</v>
      </c>
      <c r="AB2" s="32">
        <v>167.01599999999999</v>
      </c>
      <c r="AC2" s="32">
        <v>249.917</v>
      </c>
    </row>
    <row r="3" spans="1:29" x14ac:dyDescent="0.25">
      <c r="A3" s="32">
        <v>1</v>
      </c>
      <c r="B3" s="32">
        <v>8.9999897437360001</v>
      </c>
      <c r="C3" s="32">
        <v>44.536718</v>
      </c>
      <c r="D3" s="32">
        <v>396.70299999999997</v>
      </c>
      <c r="E3" s="32">
        <v>42.284999999999997</v>
      </c>
      <c r="F3" s="32">
        <v>270</v>
      </c>
      <c r="G3" s="32">
        <v>0</v>
      </c>
      <c r="H3" s="32">
        <v>200</v>
      </c>
      <c r="I3" s="34">
        <v>1.7409999999999998E-2</v>
      </c>
      <c r="J3" s="34">
        <v>1.7100000000000001E-4</v>
      </c>
      <c r="K3" s="34">
        <v>1.446E-5</v>
      </c>
      <c r="L3" s="32">
        <v>2748.8901124509639</v>
      </c>
      <c r="M3" s="32">
        <v>8.9999897437360001</v>
      </c>
      <c r="N3" s="32">
        <v>0</v>
      </c>
      <c r="O3" s="32">
        <v>0</v>
      </c>
      <c r="P3" s="32">
        <v>0</v>
      </c>
      <c r="Q3" s="32">
        <v>0</v>
      </c>
      <c r="R3" s="32">
        <v>0</v>
      </c>
      <c r="S3" s="32">
        <v>0</v>
      </c>
      <c r="T3" s="32">
        <v>0</v>
      </c>
      <c r="U3" s="32">
        <v>0</v>
      </c>
      <c r="V3" s="32">
        <v>3.6378318488270909E-4</v>
      </c>
      <c r="W3" s="32">
        <v>0</v>
      </c>
      <c r="X3" s="32">
        <v>0</v>
      </c>
      <c r="Y3" s="32">
        <v>0</v>
      </c>
      <c r="Z3" s="32">
        <v>1.0913495546481273E-3</v>
      </c>
      <c r="AA3" s="32">
        <v>0</v>
      </c>
      <c r="AB3" s="32">
        <v>0</v>
      </c>
      <c r="AC3" s="32">
        <v>0</v>
      </c>
    </row>
    <row r="4" spans="1:29" x14ac:dyDescent="0.25">
      <c r="A4" s="32">
        <v>2</v>
      </c>
      <c r="B4" s="32">
        <v>9.0498997713300007</v>
      </c>
      <c r="C4" s="32">
        <v>40.742685000000002</v>
      </c>
      <c r="D4" s="32">
        <v>401.00299999999999</v>
      </c>
      <c r="E4" s="32">
        <v>42.374000000000002</v>
      </c>
      <c r="F4" s="32">
        <v>270</v>
      </c>
      <c r="G4" s="32">
        <v>0</v>
      </c>
      <c r="H4" s="32">
        <v>200</v>
      </c>
      <c r="I4" s="34">
        <v>1.754E-2</v>
      </c>
      <c r="J4" s="34">
        <v>1.716E-4</v>
      </c>
      <c r="K4" s="34">
        <v>1.451E-5</v>
      </c>
      <c r="L4" s="32">
        <v>2767.9103212435462</v>
      </c>
      <c r="M4" s="32">
        <v>9.0498997713300007</v>
      </c>
      <c r="N4" s="32">
        <v>0</v>
      </c>
      <c r="O4" s="32">
        <v>0</v>
      </c>
      <c r="P4" s="32">
        <v>0</v>
      </c>
      <c r="Q4" s="32">
        <v>0</v>
      </c>
      <c r="R4" s="32">
        <v>3.6128338130215413E-4</v>
      </c>
      <c r="S4" s="32">
        <v>0</v>
      </c>
      <c r="T4" s="32">
        <v>0</v>
      </c>
      <c r="U4" s="32">
        <v>0</v>
      </c>
      <c r="V4" s="32">
        <v>0</v>
      </c>
      <c r="W4" s="32">
        <v>0</v>
      </c>
      <c r="X4" s="32">
        <v>1.5354543705341551E-4</v>
      </c>
      <c r="Y4" s="32">
        <v>0</v>
      </c>
      <c r="Z4" s="32">
        <v>2.1677002878129248E-3</v>
      </c>
      <c r="AA4" s="32">
        <v>0</v>
      </c>
      <c r="AB4" s="32">
        <v>0</v>
      </c>
      <c r="AC4" s="32">
        <v>0</v>
      </c>
    </row>
    <row r="5" spans="1:29" x14ac:dyDescent="0.25">
      <c r="A5" s="32">
        <v>3</v>
      </c>
      <c r="B5" s="32">
        <v>9.0999967393749994</v>
      </c>
      <c r="C5" s="32">
        <v>37.063296000000001</v>
      </c>
      <c r="D5" s="32">
        <v>398.036</v>
      </c>
      <c r="E5" s="32">
        <v>42.465000000000003</v>
      </c>
      <c r="F5" s="32">
        <v>270</v>
      </c>
      <c r="G5" s="32">
        <v>0</v>
      </c>
      <c r="H5" s="32">
        <v>200</v>
      </c>
      <c r="I5" s="34">
        <v>1.7520000000000001E-2</v>
      </c>
      <c r="J5" s="34">
        <v>1.718E-4</v>
      </c>
      <c r="K5" s="34">
        <v>1.4630000000000001E-5</v>
      </c>
      <c r="L5" s="32">
        <v>2736.7775165020857</v>
      </c>
      <c r="M5" s="32">
        <v>9.0999967393749994</v>
      </c>
      <c r="N5" s="32">
        <v>0</v>
      </c>
      <c r="O5" s="32">
        <v>0</v>
      </c>
      <c r="P5" s="32">
        <v>0</v>
      </c>
      <c r="Q5" s="32">
        <v>0</v>
      </c>
      <c r="R5" s="32">
        <v>3.6539323856990547E-4</v>
      </c>
      <c r="S5" s="32">
        <v>0</v>
      </c>
      <c r="T5" s="32">
        <v>0</v>
      </c>
      <c r="U5" s="32">
        <v>0</v>
      </c>
      <c r="V5" s="32">
        <v>0</v>
      </c>
      <c r="W5" s="32">
        <v>3.6539323856990547E-4</v>
      </c>
      <c r="X5" s="32">
        <v>3.6539323856990547E-4</v>
      </c>
      <c r="Y5" s="32">
        <v>0</v>
      </c>
      <c r="Z5" s="32">
        <v>3.2885391471291492E-3</v>
      </c>
      <c r="AA5" s="32">
        <v>0</v>
      </c>
      <c r="AB5" s="32">
        <v>0</v>
      </c>
      <c r="AC5" s="32">
        <v>0</v>
      </c>
    </row>
    <row r="6" spans="1:29" x14ac:dyDescent="0.25">
      <c r="A6" s="32">
        <v>4</v>
      </c>
      <c r="B6" s="32">
        <v>9.1498388581590007</v>
      </c>
      <c r="C6" s="32">
        <v>32.574160999999997</v>
      </c>
      <c r="D6" s="32">
        <v>395.12200000000001</v>
      </c>
      <c r="E6" s="32">
        <v>42.554000000000002</v>
      </c>
      <c r="F6" s="32">
        <v>270</v>
      </c>
      <c r="G6" s="32">
        <v>0</v>
      </c>
      <c r="H6" s="32">
        <v>200</v>
      </c>
      <c r="I6" s="34">
        <v>1.7389999999999999E-2</v>
      </c>
      <c r="J6" s="34">
        <v>1.739E-4</v>
      </c>
      <c r="K6" s="34">
        <v>1.4579999999999999E-5</v>
      </c>
      <c r="L6" s="32">
        <v>2706.3013958266342</v>
      </c>
      <c r="M6" s="32">
        <v>9.1498388581590007</v>
      </c>
      <c r="N6" s="32">
        <v>0</v>
      </c>
      <c r="O6" s="32">
        <v>0</v>
      </c>
      <c r="P6" s="32">
        <v>0</v>
      </c>
      <c r="Q6" s="32">
        <v>0</v>
      </c>
      <c r="R6" s="32">
        <v>0</v>
      </c>
      <c r="S6" s="32">
        <v>0</v>
      </c>
      <c r="T6" s="32">
        <v>0</v>
      </c>
      <c r="U6" s="32">
        <v>0</v>
      </c>
      <c r="V6" s="32">
        <v>0</v>
      </c>
      <c r="W6" s="32">
        <v>0</v>
      </c>
      <c r="X6" s="32">
        <v>3.6950799402538537E-4</v>
      </c>
      <c r="Y6" s="32">
        <v>0</v>
      </c>
      <c r="Z6" s="32">
        <v>2.956063952203083E-3</v>
      </c>
      <c r="AA6" s="32">
        <v>0</v>
      </c>
      <c r="AB6" s="32">
        <v>0</v>
      </c>
      <c r="AC6" s="32">
        <v>0</v>
      </c>
    </row>
    <row r="7" spans="1:29" x14ac:dyDescent="0.25">
      <c r="A7" s="32">
        <v>5</v>
      </c>
      <c r="B7" s="32">
        <v>9.1995071281970002</v>
      </c>
      <c r="C7" s="32">
        <v>29.567101999999998</v>
      </c>
      <c r="D7" s="32">
        <v>397.33800000000002</v>
      </c>
      <c r="E7" s="32">
        <v>42.642000000000003</v>
      </c>
      <c r="F7" s="32">
        <v>270</v>
      </c>
      <c r="G7" s="32">
        <v>0</v>
      </c>
      <c r="H7" s="32">
        <v>200</v>
      </c>
      <c r="I7" s="34">
        <v>1.7479999999999999E-2</v>
      </c>
      <c r="J7" s="34">
        <v>1.7249999999999999E-4</v>
      </c>
      <c r="K7" s="34">
        <v>1.4620000000000001E-5</v>
      </c>
      <c r="L7" s="32">
        <v>2698.2624347592696</v>
      </c>
      <c r="M7" s="32">
        <v>9.1995071281970002</v>
      </c>
      <c r="N7" s="32">
        <v>0</v>
      </c>
      <c r="O7" s="32">
        <v>0</v>
      </c>
      <c r="P7" s="32">
        <v>3.7060887299838086E-4</v>
      </c>
      <c r="Q7" s="32">
        <v>0</v>
      </c>
      <c r="R7" s="32">
        <v>7.4121774599676172E-4</v>
      </c>
      <c r="S7" s="32">
        <v>1.0191744007455474E-4</v>
      </c>
      <c r="T7" s="32">
        <v>0</v>
      </c>
      <c r="U7" s="32">
        <v>0</v>
      </c>
      <c r="V7" s="32">
        <v>0</v>
      </c>
      <c r="W7" s="32">
        <v>0</v>
      </c>
      <c r="X7" s="32">
        <v>7.4121774599676172E-4</v>
      </c>
      <c r="Y7" s="32">
        <v>0</v>
      </c>
      <c r="Z7" s="32">
        <v>1.8530443649919042E-3</v>
      </c>
      <c r="AA7" s="32">
        <v>3.7060887299838086E-4</v>
      </c>
      <c r="AB7" s="32">
        <v>0</v>
      </c>
      <c r="AC7" s="32">
        <v>0</v>
      </c>
    </row>
    <row r="8" spans="1:29" x14ac:dyDescent="0.25">
      <c r="A8" s="32">
        <v>6</v>
      </c>
      <c r="B8" s="32">
        <v>9.2496179326700005</v>
      </c>
      <c r="C8" s="32">
        <v>26.61082</v>
      </c>
      <c r="D8" s="32">
        <v>400.142</v>
      </c>
      <c r="E8" s="32">
        <v>42.73</v>
      </c>
      <c r="F8" s="32">
        <v>270</v>
      </c>
      <c r="G8" s="32">
        <v>0</v>
      </c>
      <c r="H8" s="32">
        <v>200</v>
      </c>
      <c r="I8" s="34">
        <v>1.7350000000000001E-2</v>
      </c>
      <c r="J8" s="34">
        <v>1.706E-4</v>
      </c>
      <c r="K8" s="34">
        <v>1.472E-5</v>
      </c>
      <c r="L8" s="32">
        <v>2692.0099348421272</v>
      </c>
      <c r="M8" s="32">
        <v>9.2496179326700005</v>
      </c>
      <c r="N8" s="32">
        <v>0</v>
      </c>
      <c r="O8" s="32">
        <v>3.7146965434904492E-4</v>
      </c>
      <c r="P8" s="32">
        <v>0</v>
      </c>
      <c r="Q8" s="32">
        <v>0</v>
      </c>
      <c r="R8" s="32">
        <v>3.7146965434904492E-4</v>
      </c>
      <c r="S8" s="32">
        <v>3.7146965434904492E-4</v>
      </c>
      <c r="T8" s="32">
        <v>0</v>
      </c>
      <c r="U8" s="32">
        <v>0</v>
      </c>
      <c r="V8" s="32">
        <v>3.7146965434904492E-4</v>
      </c>
      <c r="W8" s="32">
        <v>0</v>
      </c>
      <c r="X8" s="32">
        <v>7.4293930869808985E-4</v>
      </c>
      <c r="Y8" s="32">
        <v>0</v>
      </c>
      <c r="Z8" s="32">
        <v>7.4293930869808985E-4</v>
      </c>
      <c r="AA8" s="32">
        <v>3.7146965434904492E-4</v>
      </c>
      <c r="AB8" s="32">
        <v>0</v>
      </c>
      <c r="AC8" s="32">
        <v>0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3309" r:id="rId3" name="ScaleDefault">
          <controlPr defaultSize="0" print="0" autoLine="0" r:id="rId4">
            <anchor moveWithCells="1">
              <from>
                <xdr:col>14</xdr:col>
                <xdr:colOff>457200</xdr:colOff>
                <xdr:row>18</xdr:row>
                <xdr:rowOff>123825</xdr:rowOff>
              </from>
              <to>
                <xdr:col>15</xdr:col>
                <xdr:colOff>276225</xdr:colOff>
                <xdr:row>20</xdr:row>
                <xdr:rowOff>19050</xdr:rowOff>
              </to>
            </anchor>
          </controlPr>
        </control>
      </mc:Choice>
      <mc:Fallback>
        <control shapeId="183309" r:id="rId3" name="ScaleDefault"/>
      </mc:Fallback>
    </mc:AlternateContent>
    <mc:AlternateContent xmlns:mc="http://schemas.openxmlformats.org/markup-compatibility/2006">
      <mc:Choice Requires="x14">
        <control shapeId="183308" r:id="rId5" name="ScaleYes">
          <controlPr defaultSize="0" print="0" autoLine="0" r:id="rId6">
            <anchor moveWithCells="1">
              <from>
                <xdr:col>13</xdr:col>
                <xdr:colOff>552450</xdr:colOff>
                <xdr:row>18</xdr:row>
                <xdr:rowOff>123825</xdr:rowOff>
              </from>
              <to>
                <xdr:col>14</xdr:col>
                <xdr:colOff>381000</xdr:colOff>
                <xdr:row>20</xdr:row>
                <xdr:rowOff>19050</xdr:rowOff>
              </to>
            </anchor>
          </controlPr>
        </control>
      </mc:Choice>
      <mc:Fallback>
        <control shapeId="183308" r:id="rId5" name="ScaleYes"/>
      </mc:Fallback>
    </mc:AlternateContent>
    <mc:AlternateContent xmlns:mc="http://schemas.openxmlformats.org/markup-compatibility/2006">
      <mc:Choice Requires="x14">
        <control shapeId="183307" r:id="rId7" name="YScaleMax">
          <controlPr defaultSize="0" print="0" autoLine="0" r:id="rId8">
            <anchor moveWithCells="1">
              <from>
                <xdr:col>14</xdr:col>
                <xdr:colOff>247650</xdr:colOff>
                <xdr:row>17</xdr:row>
                <xdr:rowOff>9525</xdr:rowOff>
              </from>
              <to>
                <xdr:col>15</xdr:col>
                <xdr:colOff>276225</xdr:colOff>
                <xdr:row>18</xdr:row>
                <xdr:rowOff>47625</xdr:rowOff>
              </to>
            </anchor>
          </controlPr>
        </control>
      </mc:Choice>
      <mc:Fallback>
        <control shapeId="183307" r:id="rId7" name="YScaleMax"/>
      </mc:Fallback>
    </mc:AlternateContent>
    <mc:AlternateContent xmlns:mc="http://schemas.openxmlformats.org/markup-compatibility/2006">
      <mc:Choice Requires="x14">
        <control shapeId="183306" r:id="rId9" name="YScaleMin">
          <controlPr defaultSize="0" print="0" autoLine="0" r:id="rId10">
            <anchor moveWithCells="1">
              <from>
                <xdr:col>12</xdr:col>
                <xdr:colOff>533400</xdr:colOff>
                <xdr:row>17</xdr:row>
                <xdr:rowOff>9525</xdr:rowOff>
              </from>
              <to>
                <xdr:col>13</xdr:col>
                <xdr:colOff>552450</xdr:colOff>
                <xdr:row>18</xdr:row>
                <xdr:rowOff>47625</xdr:rowOff>
              </to>
            </anchor>
          </controlPr>
        </control>
      </mc:Choice>
      <mc:Fallback>
        <control shapeId="183306" r:id="rId9" name="YScaleMin"/>
      </mc:Fallback>
    </mc:AlternateContent>
    <mc:AlternateContent xmlns:mc="http://schemas.openxmlformats.org/markup-compatibility/2006">
      <mc:Choice Requires="x14">
        <control shapeId="183305" r:id="rId11" name="Label4">
          <controlPr defaultSize="0" print="0" autoLine="0" r:id="rId12">
            <anchor moveWithCells="1">
              <from>
                <xdr:col>13</xdr:col>
                <xdr:colOff>571500</xdr:colOff>
                <xdr:row>17</xdr:row>
                <xdr:rowOff>38100</xdr:rowOff>
              </from>
              <to>
                <xdr:col>14</xdr:col>
                <xdr:colOff>238125</xdr:colOff>
                <xdr:row>18</xdr:row>
                <xdr:rowOff>76200</xdr:rowOff>
              </to>
            </anchor>
          </controlPr>
        </control>
      </mc:Choice>
      <mc:Fallback>
        <control shapeId="183305" r:id="rId11" name="Label4"/>
      </mc:Fallback>
    </mc:AlternateContent>
    <mc:AlternateContent xmlns:mc="http://schemas.openxmlformats.org/markup-compatibility/2006">
      <mc:Choice Requires="x14">
        <control shapeId="183304" r:id="rId13" name="YScaleLogarithmic">
          <controlPr defaultSize="0" print="0" autoLine="0" r:id="rId14">
            <anchor moveWithCells="1">
              <from>
                <xdr:col>14</xdr:col>
                <xdr:colOff>161925</xdr:colOff>
                <xdr:row>15</xdr:row>
                <xdr:rowOff>161925</xdr:rowOff>
              </from>
              <to>
                <xdr:col>15</xdr:col>
                <xdr:colOff>342900</xdr:colOff>
                <xdr:row>17</xdr:row>
                <xdr:rowOff>9525</xdr:rowOff>
              </to>
            </anchor>
          </controlPr>
        </control>
      </mc:Choice>
      <mc:Fallback>
        <control shapeId="183304" r:id="rId13" name="YScaleLogarithmic"/>
      </mc:Fallback>
    </mc:AlternateContent>
    <mc:AlternateContent xmlns:mc="http://schemas.openxmlformats.org/markup-compatibility/2006">
      <mc:Choice Requires="x14">
        <control shapeId="183303" r:id="rId15" name="Label3">
          <controlPr defaultSize="0" print="0" autoLine="0" r:id="rId16">
            <anchor moveWithCells="1">
              <from>
                <xdr:col>13</xdr:col>
                <xdr:colOff>47625</xdr:colOff>
                <xdr:row>16</xdr:row>
                <xdr:rowOff>0</xdr:rowOff>
              </from>
              <to>
                <xdr:col>14</xdr:col>
                <xdr:colOff>76200</xdr:colOff>
                <xdr:row>17</xdr:row>
                <xdr:rowOff>38100</xdr:rowOff>
              </to>
            </anchor>
          </controlPr>
        </control>
      </mc:Choice>
      <mc:Fallback>
        <control shapeId="183303" r:id="rId15" name="Label3"/>
      </mc:Fallback>
    </mc:AlternateContent>
    <mc:AlternateContent xmlns:mc="http://schemas.openxmlformats.org/markup-compatibility/2006">
      <mc:Choice Requires="x14">
        <control shapeId="183302" r:id="rId17" name="XScaleMax">
          <controlPr defaultSize="0" print="0" autoLine="0" r:id="rId18">
            <anchor moveWithCells="1">
              <from>
                <xdr:col>14</xdr:col>
                <xdr:colOff>247650</xdr:colOff>
                <xdr:row>14</xdr:row>
                <xdr:rowOff>76200</xdr:rowOff>
              </from>
              <to>
                <xdr:col>15</xdr:col>
                <xdr:colOff>276225</xdr:colOff>
                <xdr:row>15</xdr:row>
                <xdr:rowOff>114300</xdr:rowOff>
              </to>
            </anchor>
          </controlPr>
        </control>
      </mc:Choice>
      <mc:Fallback>
        <control shapeId="183302" r:id="rId17" name="XScaleMax"/>
      </mc:Fallback>
    </mc:AlternateContent>
    <mc:AlternateContent xmlns:mc="http://schemas.openxmlformats.org/markup-compatibility/2006">
      <mc:Choice Requires="x14">
        <control shapeId="183301" r:id="rId19" name="XScaleMin">
          <controlPr defaultSize="0" print="0" autoLine="0" r:id="rId20">
            <anchor moveWithCells="1">
              <from>
                <xdr:col>12</xdr:col>
                <xdr:colOff>533400</xdr:colOff>
                <xdr:row>14</xdr:row>
                <xdr:rowOff>76200</xdr:rowOff>
              </from>
              <to>
                <xdr:col>13</xdr:col>
                <xdr:colOff>552450</xdr:colOff>
                <xdr:row>15</xdr:row>
                <xdr:rowOff>114300</xdr:rowOff>
              </to>
            </anchor>
          </controlPr>
        </control>
      </mc:Choice>
      <mc:Fallback>
        <control shapeId="183301" r:id="rId19" name="XScaleMin"/>
      </mc:Fallback>
    </mc:AlternateContent>
    <mc:AlternateContent xmlns:mc="http://schemas.openxmlformats.org/markup-compatibility/2006">
      <mc:Choice Requires="x14">
        <control shapeId="183300" r:id="rId21" name="Label2">
          <controlPr defaultSize="0" print="0" autoLine="0" r:id="rId22">
            <anchor moveWithCells="1">
              <from>
                <xdr:col>13</xdr:col>
                <xdr:colOff>571500</xdr:colOff>
                <xdr:row>14</xdr:row>
                <xdr:rowOff>95250</xdr:rowOff>
              </from>
              <to>
                <xdr:col>14</xdr:col>
                <xdr:colOff>238125</xdr:colOff>
                <xdr:row>15</xdr:row>
                <xdr:rowOff>133350</xdr:rowOff>
              </to>
            </anchor>
          </controlPr>
        </control>
      </mc:Choice>
      <mc:Fallback>
        <control shapeId="183300" r:id="rId21" name="Label2"/>
      </mc:Fallback>
    </mc:AlternateContent>
    <mc:AlternateContent xmlns:mc="http://schemas.openxmlformats.org/markup-compatibility/2006">
      <mc:Choice Requires="x14">
        <control shapeId="183299" r:id="rId23" name="Label1">
          <controlPr defaultSize="0" print="0" autoLine="0" r:id="rId24">
            <anchor moveWithCells="1">
              <from>
                <xdr:col>13</xdr:col>
                <xdr:colOff>390525</xdr:colOff>
                <xdr:row>13</xdr:row>
                <xdr:rowOff>57150</xdr:rowOff>
              </from>
              <to>
                <xdr:col>14</xdr:col>
                <xdr:colOff>419100</xdr:colOff>
                <xdr:row>14</xdr:row>
                <xdr:rowOff>95250</xdr:rowOff>
              </to>
            </anchor>
          </controlPr>
        </control>
      </mc:Choice>
      <mc:Fallback>
        <control shapeId="183299" r:id="rId23" name="Label1"/>
      </mc:Fallback>
    </mc:AlternateContent>
    <mc:AlternateContent xmlns:mc="http://schemas.openxmlformats.org/markup-compatibility/2006">
      <mc:Choice Requires="x14">
        <control shapeId="183298" r:id="rId25" name="FmlListBox">
          <controlPr defaultSize="0" print="0" autoLine="0" r:id="rId26">
            <anchor moveWithCells="1">
              <from>
                <xdr:col>12</xdr:col>
                <xdr:colOff>428625</xdr:colOff>
                <xdr:row>4</xdr:row>
                <xdr:rowOff>76200</xdr:rowOff>
              </from>
              <to>
                <xdr:col>15</xdr:col>
                <xdr:colOff>381000</xdr:colOff>
                <xdr:row>13</xdr:row>
                <xdr:rowOff>19050</xdr:rowOff>
              </to>
            </anchor>
          </controlPr>
        </control>
      </mc:Choice>
      <mc:Fallback>
        <control shapeId="183298" r:id="rId25" name="FmlListBox"/>
      </mc:Fallback>
    </mc:AlternateContent>
    <mc:AlternateContent xmlns:mc="http://schemas.openxmlformats.org/markup-compatibility/2006">
      <mc:Choice Requires="x14">
        <control shapeId="183297" r:id="rId27" name="RngCopy">
          <controlPr defaultSize="0" print="0" autoLine="0" r:id="rId28">
            <anchor moveWithCells="1">
              <from>
                <xdr:col>0</xdr:col>
                <xdr:colOff>581025</xdr:colOff>
                <xdr:row>2</xdr:row>
                <xdr:rowOff>152400</xdr:rowOff>
              </from>
              <to>
                <xdr:col>3</xdr:col>
                <xdr:colOff>19050</xdr:colOff>
                <xdr:row>4</xdr:row>
                <xdr:rowOff>47625</xdr:rowOff>
              </to>
            </anchor>
          </controlPr>
        </control>
      </mc:Choice>
      <mc:Fallback>
        <control shapeId="183297" r:id="rId27" name="RngCop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C43"/>
  <sheetViews>
    <sheetView workbookViewId="0"/>
  </sheetViews>
  <sheetFormatPr defaultRowHeight="15" x14ac:dyDescent="0.25"/>
  <cols>
    <col min="1" max="16384" width="9.140625" style="32"/>
  </cols>
  <sheetData>
    <row r="1" spans="1:29" x14ac:dyDescent="0.25">
      <c r="A1" s="32" t="s">
        <v>64</v>
      </c>
      <c r="B1" s="32" t="s">
        <v>29</v>
      </c>
      <c r="M1" s="32" t="s">
        <v>30</v>
      </c>
      <c r="N1" s="32" t="s">
        <v>42</v>
      </c>
      <c r="O1" s="32" t="s">
        <v>45</v>
      </c>
      <c r="P1" s="32" t="s">
        <v>27</v>
      </c>
      <c r="Q1" s="32" t="s">
        <v>44</v>
      </c>
      <c r="V1" s="32" t="s">
        <v>28</v>
      </c>
    </row>
    <row r="2" spans="1:29" x14ac:dyDescent="0.25">
      <c r="A2" s="32" t="s">
        <v>31</v>
      </c>
      <c r="B2" s="32" t="s">
        <v>32</v>
      </c>
      <c r="C2" s="32" t="s">
        <v>33</v>
      </c>
      <c r="D2" s="32" t="s">
        <v>34</v>
      </c>
      <c r="E2" s="32" t="s">
        <v>35</v>
      </c>
      <c r="F2" s="32" t="s">
        <v>36</v>
      </c>
      <c r="G2" s="32" t="s">
        <v>37</v>
      </c>
      <c r="H2" s="32" t="s">
        <v>22</v>
      </c>
      <c r="I2" s="32" t="s">
        <v>38</v>
      </c>
      <c r="J2" s="32" t="s">
        <v>39</v>
      </c>
      <c r="K2" s="32" t="s">
        <v>40</v>
      </c>
      <c r="L2" s="32" t="s">
        <v>41</v>
      </c>
      <c r="M2" s="32" t="s">
        <v>32</v>
      </c>
      <c r="N2" s="32">
        <v>18.001999999999999</v>
      </c>
      <c r="O2" s="32">
        <v>27.988</v>
      </c>
      <c r="P2" s="32">
        <v>31.98</v>
      </c>
      <c r="Q2" s="32">
        <v>43.985999999999997</v>
      </c>
      <c r="R2" s="32">
        <v>44.98</v>
      </c>
      <c r="S2" s="32">
        <v>49.987000000000002</v>
      </c>
      <c r="T2" s="32">
        <v>69.076999999999998</v>
      </c>
      <c r="U2" s="32">
        <v>77.986000000000004</v>
      </c>
      <c r="V2" s="32">
        <v>83.88</v>
      </c>
      <c r="W2" s="32">
        <v>99.974000000000004</v>
      </c>
      <c r="X2" s="32">
        <v>112.093</v>
      </c>
      <c r="Y2" s="32">
        <v>118.967</v>
      </c>
      <c r="Z2" s="32">
        <v>130.96100000000001</v>
      </c>
      <c r="AA2" s="32">
        <v>148.97999999999999</v>
      </c>
      <c r="AB2" s="32">
        <v>167.01599999999999</v>
      </c>
      <c r="AC2" s="32">
        <v>249.917</v>
      </c>
    </row>
    <row r="3" spans="1:29" x14ac:dyDescent="0.25">
      <c r="A3" s="32">
        <v>1</v>
      </c>
      <c r="B3" s="32">
        <v>9.9994825149099995</v>
      </c>
      <c r="C3" s="32">
        <v>18.087194</v>
      </c>
      <c r="D3" s="32">
        <v>399.34800000000001</v>
      </c>
      <c r="E3" s="32">
        <v>44.011000000000003</v>
      </c>
      <c r="F3" s="32">
        <v>180</v>
      </c>
      <c r="G3" s="32">
        <v>0</v>
      </c>
      <c r="H3" s="32">
        <v>975</v>
      </c>
      <c r="I3" s="34">
        <v>1.7270000000000001E-2</v>
      </c>
      <c r="J3" s="34">
        <v>1.706E-4</v>
      </c>
      <c r="K3" s="34">
        <v>1.453E-5</v>
      </c>
      <c r="L3" s="32">
        <v>2414.426702209902</v>
      </c>
      <c r="M3" s="32">
        <v>9.9994825149099995</v>
      </c>
      <c r="N3" s="32">
        <v>0</v>
      </c>
      <c r="O3" s="32">
        <v>0</v>
      </c>
      <c r="P3" s="32">
        <v>0</v>
      </c>
      <c r="Q3" s="32">
        <v>0</v>
      </c>
      <c r="R3" s="32">
        <v>4.1417699658668843E-4</v>
      </c>
      <c r="S3" s="32">
        <v>0</v>
      </c>
      <c r="T3" s="32">
        <v>8.2835399317337686E-4</v>
      </c>
      <c r="U3" s="32">
        <v>0</v>
      </c>
      <c r="V3" s="32">
        <v>0</v>
      </c>
      <c r="W3" s="32">
        <v>8.2835399317337686E-4</v>
      </c>
      <c r="X3" s="32">
        <v>8.2835399317337686E-4</v>
      </c>
      <c r="Y3" s="32">
        <v>0</v>
      </c>
      <c r="Z3" s="32">
        <v>3.0027832252534911E-4</v>
      </c>
      <c r="AA3" s="32">
        <v>0</v>
      </c>
      <c r="AB3" s="32">
        <v>0</v>
      </c>
      <c r="AC3" s="32">
        <v>0</v>
      </c>
    </row>
    <row r="4" spans="1:29" x14ac:dyDescent="0.25">
      <c r="A4" s="32">
        <v>2</v>
      </c>
      <c r="B4" s="32">
        <v>10.050042608564</v>
      </c>
      <c r="C4" s="32">
        <v>18.371638999999998</v>
      </c>
      <c r="D4" s="32">
        <v>397.33300000000003</v>
      </c>
      <c r="E4" s="32">
        <v>44.094000000000001</v>
      </c>
      <c r="F4" s="32">
        <v>180</v>
      </c>
      <c r="G4" s="32">
        <v>0</v>
      </c>
      <c r="H4" s="32">
        <v>975</v>
      </c>
      <c r="I4" s="34">
        <v>1.7270000000000001E-2</v>
      </c>
      <c r="J4" s="34">
        <v>1.7019999999999999E-4</v>
      </c>
      <c r="K4" s="34">
        <v>1.451E-5</v>
      </c>
      <c r="L4" s="32">
        <v>2401.4504832228972</v>
      </c>
      <c r="M4" s="32">
        <v>10.050042608564</v>
      </c>
      <c r="N4" s="32">
        <v>0</v>
      </c>
      <c r="O4" s="32">
        <v>0</v>
      </c>
      <c r="P4" s="32">
        <v>0</v>
      </c>
      <c r="Q4" s="32">
        <v>0</v>
      </c>
      <c r="R4" s="32">
        <v>0</v>
      </c>
      <c r="S4" s="32">
        <v>0</v>
      </c>
      <c r="T4" s="32">
        <v>8.3282999752544321E-4</v>
      </c>
      <c r="U4" s="32">
        <v>0</v>
      </c>
      <c r="V4" s="32">
        <v>0</v>
      </c>
      <c r="W4" s="32">
        <v>8.3282999752544321E-4</v>
      </c>
      <c r="X4" s="32">
        <v>8.3282999752544321E-4</v>
      </c>
      <c r="Y4" s="32">
        <v>0</v>
      </c>
      <c r="Z4" s="32">
        <v>8.3282999752544321E-4</v>
      </c>
      <c r="AA4" s="32">
        <v>0</v>
      </c>
      <c r="AB4" s="32">
        <v>0</v>
      </c>
      <c r="AC4" s="32">
        <v>0</v>
      </c>
    </row>
    <row r="5" spans="1:29" x14ac:dyDescent="0.25">
      <c r="A5" s="32">
        <v>3</v>
      </c>
      <c r="B5" s="32">
        <v>10.09955227006</v>
      </c>
      <c r="C5" s="32">
        <v>18.400956999999998</v>
      </c>
      <c r="D5" s="32">
        <v>395.339</v>
      </c>
      <c r="E5" s="32">
        <v>44.177999999999997</v>
      </c>
      <c r="F5" s="32">
        <v>180</v>
      </c>
      <c r="G5" s="32">
        <v>0</v>
      </c>
      <c r="H5" s="32">
        <v>975</v>
      </c>
      <c r="I5" s="34">
        <v>1.7409999999999998E-2</v>
      </c>
      <c r="J5" s="34">
        <v>1.7139999999999999E-4</v>
      </c>
      <c r="K5" s="34">
        <v>1.4440000000000001E-5</v>
      </c>
      <c r="L5" s="32">
        <v>2388.6261070961741</v>
      </c>
      <c r="M5" s="32">
        <v>10.09955227006</v>
      </c>
      <c r="N5" s="32">
        <v>0</v>
      </c>
      <c r="O5" s="32">
        <v>0</v>
      </c>
      <c r="P5" s="32">
        <v>0</v>
      </c>
      <c r="Q5" s="32">
        <v>0</v>
      </c>
      <c r="R5" s="32">
        <v>0</v>
      </c>
      <c r="S5" s="32">
        <v>4.1865070344378376E-4</v>
      </c>
      <c r="T5" s="32">
        <v>4.1865070344378376E-4</v>
      </c>
      <c r="U5" s="32">
        <v>0</v>
      </c>
      <c r="V5" s="32">
        <v>0</v>
      </c>
      <c r="W5" s="32">
        <v>2.0932535172189185E-3</v>
      </c>
      <c r="X5" s="32">
        <v>3.7678563309940538E-3</v>
      </c>
      <c r="Y5" s="32">
        <v>4.1865070344378376E-4</v>
      </c>
      <c r="Z5" s="32">
        <v>4.1865070344378376E-4</v>
      </c>
      <c r="AA5" s="32">
        <v>0</v>
      </c>
      <c r="AB5" s="32">
        <v>0</v>
      </c>
      <c r="AC5" s="32">
        <v>8.3730140688756751E-4</v>
      </c>
    </row>
    <row r="6" spans="1:29" x14ac:dyDescent="0.25">
      <c r="A6" s="32">
        <v>4</v>
      </c>
      <c r="B6" s="32">
        <v>10.149932065787</v>
      </c>
      <c r="C6" s="32">
        <v>18.615666000000001</v>
      </c>
      <c r="D6" s="32">
        <v>398.93200000000002</v>
      </c>
      <c r="E6" s="32">
        <v>44.259</v>
      </c>
      <c r="F6" s="32">
        <v>180</v>
      </c>
      <c r="G6" s="32">
        <v>0</v>
      </c>
      <c r="H6" s="32">
        <v>975</v>
      </c>
      <c r="I6" s="34">
        <v>1.7350000000000001E-2</v>
      </c>
      <c r="J6" s="34">
        <v>1.708E-4</v>
      </c>
      <c r="K6" s="34">
        <v>1.448E-5</v>
      </c>
      <c r="L6" s="32">
        <v>2405.363231379004</v>
      </c>
      <c r="M6" s="32">
        <v>10.149932065787</v>
      </c>
      <c r="N6" s="32">
        <v>0</v>
      </c>
      <c r="O6" s="32">
        <v>4.1573762621568641E-4</v>
      </c>
      <c r="P6" s="32">
        <v>0</v>
      </c>
      <c r="Q6" s="32">
        <v>0</v>
      </c>
      <c r="R6" s="32">
        <v>0</v>
      </c>
      <c r="S6" s="32">
        <v>0</v>
      </c>
      <c r="T6" s="32">
        <v>0</v>
      </c>
      <c r="U6" s="32">
        <v>0</v>
      </c>
      <c r="V6" s="32">
        <v>4.1573762621568641E-4</v>
      </c>
      <c r="W6" s="32">
        <v>1.2472128786470593E-3</v>
      </c>
      <c r="X6" s="32">
        <v>8.3147525243137282E-4</v>
      </c>
      <c r="Y6" s="32">
        <v>4.1573762621568641E-4</v>
      </c>
      <c r="Z6" s="32">
        <v>1.6629505048627456E-3</v>
      </c>
      <c r="AA6" s="32">
        <v>0</v>
      </c>
      <c r="AB6" s="32">
        <v>0</v>
      </c>
      <c r="AC6" s="32">
        <v>0</v>
      </c>
    </row>
    <row r="7" spans="1:29" x14ac:dyDescent="0.25">
      <c r="A7" s="32">
        <v>5</v>
      </c>
      <c r="B7" s="32">
        <v>10.199564911828</v>
      </c>
      <c r="C7" s="32">
        <v>18.737244</v>
      </c>
      <c r="D7" s="32">
        <v>396.90800000000002</v>
      </c>
      <c r="E7" s="32">
        <v>44.343000000000004</v>
      </c>
      <c r="F7" s="32">
        <v>180</v>
      </c>
      <c r="G7" s="32">
        <v>0</v>
      </c>
      <c r="H7" s="32">
        <v>975</v>
      </c>
      <c r="I7" s="34">
        <v>1.7250000000000001E-2</v>
      </c>
      <c r="J7" s="34">
        <v>1.708E-4</v>
      </c>
      <c r="K7" s="34">
        <v>1.449E-5</v>
      </c>
      <c r="L7" s="32">
        <v>2382.9199664954385</v>
      </c>
      <c r="M7" s="32">
        <v>10.199564911828</v>
      </c>
      <c r="N7" s="32">
        <v>0</v>
      </c>
      <c r="O7" s="32">
        <v>4.1965320449712814E-4</v>
      </c>
      <c r="P7" s="32">
        <v>0</v>
      </c>
      <c r="Q7" s="32">
        <v>0</v>
      </c>
      <c r="R7" s="32">
        <v>0</v>
      </c>
      <c r="S7" s="32">
        <v>0</v>
      </c>
      <c r="T7" s="32">
        <v>0</v>
      </c>
      <c r="U7" s="32">
        <v>0</v>
      </c>
      <c r="V7" s="32">
        <v>0</v>
      </c>
      <c r="W7" s="32">
        <v>1.2589596134913845E-3</v>
      </c>
      <c r="X7" s="32">
        <v>4.1965320449712813E-3</v>
      </c>
      <c r="Y7" s="32">
        <v>0</v>
      </c>
      <c r="Z7" s="32">
        <v>0</v>
      </c>
      <c r="AA7" s="32">
        <v>0</v>
      </c>
      <c r="AB7" s="32">
        <v>0</v>
      </c>
      <c r="AC7" s="32">
        <v>0</v>
      </c>
    </row>
    <row r="8" spans="1:29" x14ac:dyDescent="0.25">
      <c r="A8" s="32">
        <v>6</v>
      </c>
      <c r="B8" s="32">
        <v>10.249746724015001</v>
      </c>
      <c r="C8" s="32">
        <v>18.830943000000001</v>
      </c>
      <c r="D8" s="32">
        <v>398.01499999999999</v>
      </c>
      <c r="E8" s="32">
        <v>44.423999999999999</v>
      </c>
      <c r="F8" s="32">
        <v>180</v>
      </c>
      <c r="G8" s="32">
        <v>0</v>
      </c>
      <c r="H8" s="32">
        <v>975</v>
      </c>
      <c r="I8" s="34">
        <v>1.7229999999999999E-2</v>
      </c>
      <c r="J8" s="34">
        <v>1.7019999999999999E-4</v>
      </c>
      <c r="K8" s="34">
        <v>1.446E-5</v>
      </c>
      <c r="L8" s="32">
        <v>2379.2733454999175</v>
      </c>
      <c r="M8" s="32">
        <v>10.249746724015001</v>
      </c>
      <c r="N8" s="32">
        <v>0</v>
      </c>
      <c r="O8" s="32">
        <v>0</v>
      </c>
      <c r="P8" s="32">
        <v>0</v>
      </c>
      <c r="Q8" s="32">
        <v>0</v>
      </c>
      <c r="R8" s="32">
        <v>0</v>
      </c>
      <c r="S8" s="32">
        <v>0</v>
      </c>
      <c r="T8" s="32">
        <v>8.4059278173427901E-4</v>
      </c>
      <c r="U8" s="32">
        <v>0</v>
      </c>
      <c r="V8" s="32">
        <v>0</v>
      </c>
      <c r="W8" s="32">
        <v>2.9420747360699765E-3</v>
      </c>
      <c r="X8" s="32">
        <v>1.2608891726014185E-3</v>
      </c>
      <c r="Y8" s="32">
        <v>4.2029639086713951E-4</v>
      </c>
      <c r="Z8" s="32">
        <v>1.2608891726014185E-3</v>
      </c>
      <c r="AA8" s="32">
        <v>0</v>
      </c>
      <c r="AB8" s="32">
        <v>0</v>
      </c>
      <c r="AC8" s="32">
        <v>0</v>
      </c>
    </row>
    <row r="9" spans="1:29" x14ac:dyDescent="0.25">
      <c r="A9" s="32">
        <v>7</v>
      </c>
      <c r="B9" s="32">
        <v>10.299786396188001</v>
      </c>
      <c r="C9" s="32">
        <v>19.201589999999999</v>
      </c>
      <c r="D9" s="32">
        <v>398.82400000000001</v>
      </c>
      <c r="E9" s="32">
        <v>44.506</v>
      </c>
      <c r="F9" s="32">
        <v>180</v>
      </c>
      <c r="G9" s="32">
        <v>0</v>
      </c>
      <c r="H9" s="32">
        <v>975</v>
      </c>
      <c r="I9" s="34">
        <v>1.7229999999999999E-2</v>
      </c>
      <c r="J9" s="34">
        <v>1.7119999999999999E-4</v>
      </c>
      <c r="K9" s="34">
        <v>1.465E-5</v>
      </c>
      <c r="L9" s="32">
        <v>2373.9130847495462</v>
      </c>
      <c r="M9" s="32">
        <v>10.299786396188001</v>
      </c>
      <c r="N9" s="32">
        <v>0</v>
      </c>
      <c r="O9" s="32">
        <v>0</v>
      </c>
      <c r="P9" s="32">
        <v>0</v>
      </c>
      <c r="Q9" s="32">
        <v>0</v>
      </c>
      <c r="R9" s="32">
        <v>4.2124541392192652E-4</v>
      </c>
      <c r="S9" s="32">
        <v>0</v>
      </c>
      <c r="T9" s="32">
        <v>8.4249082784385303E-4</v>
      </c>
      <c r="U9" s="32">
        <v>0</v>
      </c>
      <c r="V9" s="32">
        <v>0</v>
      </c>
      <c r="W9" s="32">
        <v>4.6547618238372886E-3</v>
      </c>
      <c r="X9" s="32">
        <v>2.5274724835315592E-3</v>
      </c>
      <c r="Y9" s="32">
        <v>2.4221611300510773E-4</v>
      </c>
      <c r="Z9" s="32">
        <v>2.5274724835315592E-3</v>
      </c>
      <c r="AA9" s="32">
        <v>4.2124541392192652E-4</v>
      </c>
      <c r="AB9" s="32">
        <v>0</v>
      </c>
      <c r="AC9" s="32">
        <v>0</v>
      </c>
    </row>
    <row r="10" spans="1:29" x14ac:dyDescent="0.25">
      <c r="A10" s="32">
        <v>8</v>
      </c>
      <c r="B10" s="32">
        <v>10.349651696549</v>
      </c>
      <c r="C10" s="32">
        <v>19.429096000000001</v>
      </c>
      <c r="D10" s="32">
        <v>396.83</v>
      </c>
      <c r="E10" s="32">
        <v>44.587000000000003</v>
      </c>
      <c r="F10" s="32">
        <v>180</v>
      </c>
      <c r="G10" s="32">
        <v>0</v>
      </c>
      <c r="H10" s="32">
        <v>975</v>
      </c>
      <c r="I10" s="34">
        <v>1.729E-2</v>
      </c>
      <c r="J10" s="34">
        <v>1.7100000000000001E-4</v>
      </c>
      <c r="K10" s="34">
        <v>1.4620000000000001E-5</v>
      </c>
      <c r="L10" s="32">
        <v>2352.0201851297606</v>
      </c>
      <c r="M10" s="32">
        <v>10.349651696549</v>
      </c>
      <c r="N10" s="32">
        <v>0</v>
      </c>
      <c r="O10" s="32">
        <v>0</v>
      </c>
      <c r="P10" s="32">
        <v>0</v>
      </c>
      <c r="Q10" s="32">
        <v>0</v>
      </c>
      <c r="R10" s="32">
        <v>0</v>
      </c>
      <c r="S10" s="32">
        <v>0</v>
      </c>
      <c r="T10" s="32">
        <v>3.4013313536076823E-3</v>
      </c>
      <c r="U10" s="32">
        <v>0</v>
      </c>
      <c r="V10" s="32">
        <v>4.2516641920096028E-4</v>
      </c>
      <c r="W10" s="32">
        <v>1.2329826156827848E-2</v>
      </c>
      <c r="X10" s="32">
        <v>3.4013313536076823E-3</v>
      </c>
      <c r="Y10" s="32">
        <v>2.4447069104055214E-4</v>
      </c>
      <c r="Z10" s="32">
        <v>4.2516641920096028E-4</v>
      </c>
      <c r="AA10" s="32">
        <v>0</v>
      </c>
      <c r="AB10" s="32">
        <v>4.2516641920096028E-4</v>
      </c>
      <c r="AC10" s="32">
        <v>0</v>
      </c>
    </row>
    <row r="11" spans="1:29" x14ac:dyDescent="0.25">
      <c r="A11" s="32">
        <v>9</v>
      </c>
      <c r="B11" s="32">
        <v>10.399834231831999</v>
      </c>
      <c r="C11" s="32">
        <v>19.648104</v>
      </c>
      <c r="D11" s="32">
        <v>400.505</v>
      </c>
      <c r="E11" s="32">
        <v>44.667999999999999</v>
      </c>
      <c r="F11" s="32">
        <v>180</v>
      </c>
      <c r="G11" s="32">
        <v>0</v>
      </c>
      <c r="H11" s="32">
        <v>975</v>
      </c>
      <c r="I11" s="34">
        <v>1.72E-2</v>
      </c>
      <c r="J11" s="34">
        <v>1.696E-4</v>
      </c>
      <c r="K11" s="34">
        <v>1.449E-5</v>
      </c>
      <c r="L11" s="32">
        <v>2363.7070699187993</v>
      </c>
      <c r="M11" s="32">
        <v>10.399834231831999</v>
      </c>
      <c r="N11" s="32">
        <v>0</v>
      </c>
      <c r="O11" s="32">
        <v>0</v>
      </c>
      <c r="P11" s="32">
        <v>0</v>
      </c>
      <c r="Q11" s="32">
        <v>0</v>
      </c>
      <c r="R11" s="32">
        <v>8.4612853489866077E-4</v>
      </c>
      <c r="S11" s="32">
        <v>0</v>
      </c>
      <c r="T11" s="32">
        <v>6.4517300786022882E-4</v>
      </c>
      <c r="U11" s="32">
        <v>0</v>
      </c>
      <c r="V11" s="32">
        <v>0</v>
      </c>
      <c r="W11" s="32">
        <v>1.2268863756030582E-2</v>
      </c>
      <c r="X11" s="32">
        <v>4.6537069419426346E-3</v>
      </c>
      <c r="Y11" s="32">
        <v>0</v>
      </c>
      <c r="Z11" s="32">
        <v>1.1528501287994253E-3</v>
      </c>
      <c r="AA11" s="32">
        <v>0</v>
      </c>
      <c r="AB11" s="32">
        <v>8.4612853489866077E-4</v>
      </c>
      <c r="AC11" s="32">
        <v>4.2306426744933038E-4</v>
      </c>
    </row>
    <row r="12" spans="1:29" x14ac:dyDescent="0.25">
      <c r="A12" s="32">
        <v>10</v>
      </c>
      <c r="B12" s="32">
        <v>10.449488358305</v>
      </c>
      <c r="C12" s="32">
        <v>20.231891999999998</v>
      </c>
      <c r="D12" s="32">
        <v>399.048</v>
      </c>
      <c r="E12" s="32">
        <v>44.749000000000002</v>
      </c>
      <c r="F12" s="32">
        <v>180</v>
      </c>
      <c r="G12" s="32">
        <v>0</v>
      </c>
      <c r="H12" s="32">
        <v>975</v>
      </c>
      <c r="I12" s="34">
        <v>1.7250000000000001E-2</v>
      </c>
      <c r="J12" s="34">
        <v>1.7139999999999999E-4</v>
      </c>
      <c r="K12" s="34">
        <v>1.4620000000000001E-5</v>
      </c>
      <c r="L12" s="32">
        <v>2345.2396846271176</v>
      </c>
      <c r="M12" s="32">
        <v>10.449488358305</v>
      </c>
      <c r="N12" s="32">
        <v>0</v>
      </c>
      <c r="O12" s="32">
        <v>0</v>
      </c>
      <c r="P12" s="32">
        <v>0</v>
      </c>
      <c r="Q12" s="32">
        <v>0</v>
      </c>
      <c r="R12" s="32">
        <v>4.2639565011411422E-4</v>
      </c>
      <c r="S12" s="32">
        <v>0</v>
      </c>
      <c r="T12" s="32">
        <v>1.7055826004564569E-3</v>
      </c>
      <c r="U12" s="32">
        <v>0</v>
      </c>
      <c r="V12" s="32">
        <v>0</v>
      </c>
      <c r="W12" s="32">
        <v>1.5350243404108111E-2</v>
      </c>
      <c r="X12" s="32">
        <v>5.9055797540804814E-3</v>
      </c>
      <c r="Y12" s="32">
        <v>2.4517749881561567E-4</v>
      </c>
      <c r="Z12" s="32">
        <v>2.9847695507987993E-3</v>
      </c>
      <c r="AA12" s="32">
        <v>4.2639565011411422E-4</v>
      </c>
      <c r="AB12" s="32">
        <v>0</v>
      </c>
      <c r="AC12" s="32">
        <v>4.2639565011411422E-4</v>
      </c>
    </row>
    <row r="13" spans="1:29" x14ac:dyDescent="0.25">
      <c r="A13" s="32">
        <v>11</v>
      </c>
      <c r="B13" s="32">
        <v>10.499511918607</v>
      </c>
      <c r="C13" s="32">
        <v>20.514109000000001</v>
      </c>
      <c r="D13" s="32">
        <v>397</v>
      </c>
      <c r="E13" s="32">
        <v>44.829000000000001</v>
      </c>
      <c r="F13" s="32">
        <v>180</v>
      </c>
      <c r="G13" s="32">
        <v>0</v>
      </c>
      <c r="H13" s="32">
        <v>975</v>
      </c>
      <c r="I13" s="34">
        <v>1.7229999999999999E-2</v>
      </c>
      <c r="J13" s="34">
        <v>1.7100000000000001E-4</v>
      </c>
      <c r="K13" s="34">
        <v>1.449E-5</v>
      </c>
      <c r="L13" s="32">
        <v>2323.3954221506324</v>
      </c>
      <c r="M13" s="32">
        <v>10.499511918607</v>
      </c>
      <c r="N13" s="32">
        <v>4.3040456672431505E-4</v>
      </c>
      <c r="O13" s="32">
        <v>0</v>
      </c>
      <c r="P13" s="32">
        <v>0</v>
      </c>
      <c r="Q13" s="32">
        <v>0</v>
      </c>
      <c r="R13" s="32">
        <v>0</v>
      </c>
      <c r="S13" s="32">
        <v>0</v>
      </c>
      <c r="T13" s="32">
        <v>4.3040456672431508E-3</v>
      </c>
      <c r="U13" s="32">
        <v>0</v>
      </c>
      <c r="V13" s="32">
        <v>0</v>
      </c>
      <c r="W13" s="32">
        <v>1.2481732435005137E-2</v>
      </c>
      <c r="X13" s="32">
        <v>6.0256639341404105E-3</v>
      </c>
      <c r="Y13" s="32">
        <v>0</v>
      </c>
      <c r="Z13" s="32">
        <v>4.3040456672431505E-4</v>
      </c>
      <c r="AA13" s="32">
        <v>0</v>
      </c>
      <c r="AB13" s="32">
        <v>4.3040456672431505E-4</v>
      </c>
      <c r="AC13" s="32">
        <v>6.1332650758214892E-4</v>
      </c>
    </row>
    <row r="14" spans="1:29" x14ac:dyDescent="0.25">
      <c r="A14" s="32">
        <v>12</v>
      </c>
      <c r="B14" s="32">
        <v>10.549865500411</v>
      </c>
      <c r="C14" s="32">
        <v>20.847958999999999</v>
      </c>
      <c r="D14" s="32">
        <v>394.88900000000001</v>
      </c>
      <c r="E14" s="32">
        <v>44.91</v>
      </c>
      <c r="F14" s="32">
        <v>180</v>
      </c>
      <c r="G14" s="32">
        <v>0</v>
      </c>
      <c r="H14" s="32">
        <v>975</v>
      </c>
      <c r="I14" s="34">
        <v>1.7180000000000001E-2</v>
      </c>
      <c r="J14" s="34">
        <v>1.708E-4</v>
      </c>
      <c r="K14" s="34">
        <v>1.4620000000000001E-5</v>
      </c>
      <c r="L14" s="32">
        <v>2298.7662547326895</v>
      </c>
      <c r="M14" s="32">
        <v>10.549865500411</v>
      </c>
      <c r="N14" s="32">
        <v>0</v>
      </c>
      <c r="O14" s="32">
        <v>0</v>
      </c>
      <c r="P14" s="32">
        <v>0</v>
      </c>
      <c r="Q14" s="32">
        <v>0</v>
      </c>
      <c r="R14" s="32">
        <v>0</v>
      </c>
      <c r="S14" s="32">
        <v>0</v>
      </c>
      <c r="T14" s="32">
        <v>3.0451116922342288E-3</v>
      </c>
      <c r="U14" s="32">
        <v>0</v>
      </c>
      <c r="V14" s="32">
        <v>0</v>
      </c>
      <c r="W14" s="32">
        <v>1.783565419737191E-2</v>
      </c>
      <c r="X14" s="32">
        <v>6.0902233844684576E-3</v>
      </c>
      <c r="Y14" s="32">
        <v>8.7003191206692248E-4</v>
      </c>
      <c r="Z14" s="32">
        <v>2.6100957362007672E-3</v>
      </c>
      <c r="AA14" s="32">
        <v>4.3501595603346124E-4</v>
      </c>
      <c r="AB14" s="32">
        <v>4.3501595603346124E-4</v>
      </c>
      <c r="AC14" s="32">
        <v>8.7003191206692248E-4</v>
      </c>
    </row>
    <row r="15" spans="1:29" x14ac:dyDescent="0.25">
      <c r="A15" s="32">
        <v>13</v>
      </c>
      <c r="B15" s="32">
        <v>10.599679313067</v>
      </c>
      <c r="C15" s="32">
        <v>21.507966</v>
      </c>
      <c r="D15" s="32">
        <v>400.64</v>
      </c>
      <c r="E15" s="32">
        <v>44.99</v>
      </c>
      <c r="F15" s="32">
        <v>180</v>
      </c>
      <c r="G15" s="32">
        <v>0</v>
      </c>
      <c r="H15" s="32">
        <v>975</v>
      </c>
      <c r="I15" s="34">
        <v>1.729E-2</v>
      </c>
      <c r="J15" s="34">
        <v>1.7119999999999999E-4</v>
      </c>
      <c r="K15" s="34">
        <v>1.455E-5</v>
      </c>
      <c r="L15" s="32">
        <v>2319.6053525611628</v>
      </c>
      <c r="M15" s="32">
        <v>10.599679313067</v>
      </c>
      <c r="N15" s="32">
        <v>0</v>
      </c>
      <c r="O15" s="32">
        <v>0</v>
      </c>
      <c r="P15" s="32">
        <v>0</v>
      </c>
      <c r="Q15" s="32">
        <v>0</v>
      </c>
      <c r="R15" s="32">
        <v>0</v>
      </c>
      <c r="S15" s="32">
        <v>0</v>
      </c>
      <c r="T15" s="32">
        <v>5.6044016218733993E-3</v>
      </c>
      <c r="U15" s="32">
        <v>0</v>
      </c>
      <c r="V15" s="32">
        <v>0</v>
      </c>
      <c r="W15" s="32">
        <v>2.547847198867061E-2</v>
      </c>
      <c r="X15" s="32">
        <v>9.0532641584108765E-3</v>
      </c>
      <c r="Y15" s="32">
        <v>2.8345338972167386E-3</v>
      </c>
      <c r="Z15" s="32">
        <v>1.2933234512015539E-3</v>
      </c>
      <c r="AA15" s="32">
        <v>0</v>
      </c>
      <c r="AB15" s="32">
        <v>5.4966246676066031E-4</v>
      </c>
      <c r="AC15" s="32">
        <v>1.2933234512015539E-3</v>
      </c>
    </row>
    <row r="16" spans="1:29" x14ac:dyDescent="0.25">
      <c r="A16" s="32">
        <v>14</v>
      </c>
      <c r="B16" s="32">
        <v>10.650031820245999</v>
      </c>
      <c r="C16" s="32">
        <v>21.848348999999999</v>
      </c>
      <c r="D16" s="32">
        <v>398.601</v>
      </c>
      <c r="E16" s="32">
        <v>45.069000000000003</v>
      </c>
      <c r="F16" s="32">
        <v>180</v>
      </c>
      <c r="G16" s="32">
        <v>0</v>
      </c>
      <c r="H16" s="32">
        <v>975</v>
      </c>
      <c r="I16" s="34">
        <v>1.7309999999999999E-2</v>
      </c>
      <c r="J16" s="34">
        <v>1.7000000000000001E-4</v>
      </c>
      <c r="K16" s="34">
        <v>1.4440000000000001E-5</v>
      </c>
      <c r="L16" s="32">
        <v>2295.226967415013</v>
      </c>
      <c r="M16" s="32">
        <v>10.650031820245999</v>
      </c>
      <c r="N16" s="32">
        <v>4.3568675960889593E-4</v>
      </c>
      <c r="O16" s="32">
        <v>0</v>
      </c>
      <c r="P16" s="32">
        <v>4.3568675960889593E-4</v>
      </c>
      <c r="Q16" s="32">
        <v>0</v>
      </c>
      <c r="R16" s="32">
        <v>4.3568675960889593E-4</v>
      </c>
      <c r="S16" s="32">
        <v>0</v>
      </c>
      <c r="T16" s="32">
        <v>6.5353013941334389E-3</v>
      </c>
      <c r="U16" s="32">
        <v>0</v>
      </c>
      <c r="V16" s="32">
        <v>0</v>
      </c>
      <c r="W16" s="32">
        <v>2.5727303154905304E-2</v>
      </c>
      <c r="X16" s="32">
        <v>8.0275285457939074E-3</v>
      </c>
      <c r="Y16" s="32">
        <v>6.8620664638401106E-4</v>
      </c>
      <c r="Z16" s="32">
        <v>1.3070602788266879E-3</v>
      </c>
      <c r="AA16" s="32">
        <v>4.3568675960889593E-4</v>
      </c>
      <c r="AB16" s="32">
        <v>1.198138588924464E-4</v>
      </c>
      <c r="AC16" s="32">
        <v>1.9279139112693645E-3</v>
      </c>
    </row>
    <row r="17" spans="1:29" x14ac:dyDescent="0.25">
      <c r="A17" s="32">
        <v>15</v>
      </c>
      <c r="B17" s="32">
        <v>10.699887134479001</v>
      </c>
      <c r="C17" s="32">
        <v>22.114270000000001</v>
      </c>
      <c r="D17" s="32">
        <v>396.584</v>
      </c>
      <c r="E17" s="32">
        <v>45.149000000000001</v>
      </c>
      <c r="F17" s="32">
        <v>180</v>
      </c>
      <c r="G17" s="32">
        <v>0</v>
      </c>
      <c r="H17" s="32">
        <v>975</v>
      </c>
      <c r="I17" s="34">
        <v>1.729E-2</v>
      </c>
      <c r="J17" s="34">
        <v>1.7019999999999999E-4</v>
      </c>
      <c r="K17" s="34">
        <v>1.451E-5</v>
      </c>
      <c r="L17" s="32">
        <v>2271.3602952863257</v>
      </c>
      <c r="M17" s="32">
        <v>10.699887134479001</v>
      </c>
      <c r="N17" s="32">
        <v>0</v>
      </c>
      <c r="O17" s="32">
        <v>0</v>
      </c>
      <c r="P17" s="32">
        <v>0</v>
      </c>
      <c r="Q17" s="32">
        <v>0</v>
      </c>
      <c r="R17" s="32">
        <v>0</v>
      </c>
      <c r="S17" s="32">
        <v>0</v>
      </c>
      <c r="T17" s="32">
        <v>3.5221184488441219E-3</v>
      </c>
      <c r="U17" s="32">
        <v>0</v>
      </c>
      <c r="V17" s="32">
        <v>0</v>
      </c>
      <c r="W17" s="32">
        <v>2.2013240305275763E-2</v>
      </c>
      <c r="X17" s="32">
        <v>8.3650313160047885E-3</v>
      </c>
      <c r="Y17" s="32">
        <v>1.3207944183165456E-3</v>
      </c>
      <c r="Z17" s="32">
        <v>1.6399864027430442E-3</v>
      </c>
      <c r="AA17" s="32">
        <v>0</v>
      </c>
      <c r="AB17" s="32">
        <v>1.2107282167901669E-4</v>
      </c>
      <c r="AC17" s="32">
        <v>3.2689661853334503E-3</v>
      </c>
    </row>
    <row r="18" spans="1:29" x14ac:dyDescent="0.25">
      <c r="A18" s="32">
        <v>16</v>
      </c>
      <c r="B18" s="32">
        <v>10.749964670425999</v>
      </c>
      <c r="C18" s="32">
        <v>22.489985000000001</v>
      </c>
      <c r="D18" s="32">
        <v>399.779</v>
      </c>
      <c r="E18" s="32">
        <v>45.228000000000002</v>
      </c>
      <c r="F18" s="32">
        <v>180</v>
      </c>
      <c r="G18" s="32">
        <v>0</v>
      </c>
      <c r="H18" s="32">
        <v>975</v>
      </c>
      <c r="I18" s="34">
        <v>1.729E-2</v>
      </c>
      <c r="J18" s="34">
        <v>1.697E-4</v>
      </c>
      <c r="K18" s="34">
        <v>1.4579999999999999E-5</v>
      </c>
      <c r="L18" s="32">
        <v>2277.3856341504015</v>
      </c>
      <c r="M18" s="32">
        <v>10.749964670425999</v>
      </c>
      <c r="N18" s="32">
        <v>0</v>
      </c>
      <c r="O18" s="32">
        <v>0</v>
      </c>
      <c r="P18" s="32">
        <v>4.3909998596836617E-4</v>
      </c>
      <c r="Q18" s="32">
        <v>4.3909998596836617E-4</v>
      </c>
      <c r="R18" s="32">
        <v>0</v>
      </c>
      <c r="S18" s="32">
        <v>0</v>
      </c>
      <c r="T18" s="32">
        <v>7.0475547747922774E-3</v>
      </c>
      <c r="U18" s="32">
        <v>0</v>
      </c>
      <c r="V18" s="32">
        <v>0</v>
      </c>
      <c r="W18" s="32">
        <v>3.2054298975690731E-2</v>
      </c>
      <c r="X18" s="32">
        <v>8.5295172274355135E-3</v>
      </c>
      <c r="Y18" s="32">
        <v>4.3909998596836617E-4</v>
      </c>
      <c r="Z18" s="32">
        <v>1.7563999438734647E-3</v>
      </c>
      <c r="AA18" s="32">
        <v>0</v>
      </c>
      <c r="AB18" s="32">
        <v>2.6345999158101968E-3</v>
      </c>
      <c r="AC18" s="32">
        <v>4.8300998456520276E-3</v>
      </c>
    </row>
    <row r="19" spans="1:29" x14ac:dyDescent="0.25">
      <c r="A19" s="32">
        <v>17</v>
      </c>
      <c r="B19" s="32">
        <v>10.799630186829001</v>
      </c>
      <c r="C19" s="32">
        <v>23.023873999999999</v>
      </c>
      <c r="D19" s="32">
        <v>397.82499999999999</v>
      </c>
      <c r="E19" s="32">
        <v>45.307000000000002</v>
      </c>
      <c r="F19" s="32">
        <v>180</v>
      </c>
      <c r="G19" s="32">
        <v>0</v>
      </c>
      <c r="H19" s="32">
        <v>975</v>
      </c>
      <c r="I19" s="34">
        <v>1.7309999999999999E-2</v>
      </c>
      <c r="J19" s="34">
        <v>1.694E-4</v>
      </c>
      <c r="K19" s="34">
        <v>1.455E-5</v>
      </c>
      <c r="L19" s="32">
        <v>2254.2701505594673</v>
      </c>
      <c r="M19" s="32">
        <v>10.799630186829001</v>
      </c>
      <c r="N19" s="32">
        <v>0</v>
      </c>
      <c r="O19" s="32">
        <v>0</v>
      </c>
      <c r="P19" s="32">
        <v>0</v>
      </c>
      <c r="Q19" s="32">
        <v>0</v>
      </c>
      <c r="R19" s="32">
        <v>8.872051113765747E-4</v>
      </c>
      <c r="S19" s="32">
        <v>0</v>
      </c>
      <c r="T19" s="32">
        <v>9.7592562251423223E-3</v>
      </c>
      <c r="U19" s="32">
        <v>0</v>
      </c>
      <c r="V19" s="32">
        <v>4.4360255568828735E-4</v>
      </c>
      <c r="W19" s="32">
        <v>3.4623179471470825E-2</v>
      </c>
      <c r="X19" s="32">
        <v>1.1090063892207184E-2</v>
      </c>
      <c r="Y19" s="32">
        <v>2.2180127784414369E-3</v>
      </c>
      <c r="Z19" s="32">
        <v>1.7744102227531494E-3</v>
      </c>
      <c r="AA19" s="32">
        <v>0</v>
      </c>
      <c r="AB19" s="32">
        <v>8.872051113765747E-4</v>
      </c>
      <c r="AC19" s="32">
        <v>9.5041847556215572E-3</v>
      </c>
    </row>
    <row r="20" spans="1:29" x14ac:dyDescent="0.25">
      <c r="A20" s="32">
        <v>18</v>
      </c>
      <c r="B20" s="32">
        <v>10.849619656598</v>
      </c>
      <c r="C20" s="32">
        <v>23.458189000000001</v>
      </c>
      <c r="D20" s="32">
        <v>395.90100000000001</v>
      </c>
      <c r="E20" s="32">
        <v>45.384999999999998</v>
      </c>
      <c r="F20" s="32">
        <v>180</v>
      </c>
      <c r="G20" s="32">
        <v>0</v>
      </c>
      <c r="H20" s="32">
        <v>975</v>
      </c>
      <c r="I20" s="34">
        <v>1.7270000000000001E-2</v>
      </c>
      <c r="J20" s="34">
        <v>1.7039999999999999E-4</v>
      </c>
      <c r="K20" s="34">
        <v>1.465E-5</v>
      </c>
      <c r="L20" s="32">
        <v>2225.2282158742878</v>
      </c>
      <c r="M20" s="32">
        <v>10.849619656598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0</v>
      </c>
      <c r="T20" s="32">
        <v>5.6286361599450383E-3</v>
      </c>
      <c r="U20" s="32">
        <v>4.4939210857844616E-4</v>
      </c>
      <c r="V20" s="32">
        <v>4.4939210857844616E-4</v>
      </c>
      <c r="W20" s="32">
        <v>3.4603192360540352E-2</v>
      </c>
      <c r="X20" s="32">
        <v>1.3414354441066619E-2</v>
      </c>
      <c r="Y20" s="32">
        <v>2.9547531139032836E-3</v>
      </c>
      <c r="Z20" s="32">
        <v>3.1457447600491233E-3</v>
      </c>
      <c r="AA20" s="32">
        <v>4.4939210857844616E-4</v>
      </c>
      <c r="AB20" s="32">
        <v>3.5951368686275693E-3</v>
      </c>
      <c r="AC20" s="32">
        <v>5.774688595233033E-3</v>
      </c>
    </row>
    <row r="21" spans="1:29" x14ac:dyDescent="0.25">
      <c r="A21" s="32">
        <v>19</v>
      </c>
      <c r="B21" s="32">
        <v>10.899635912628</v>
      </c>
      <c r="C21" s="32">
        <v>23.972162999999998</v>
      </c>
      <c r="D21" s="32">
        <v>399.86799999999999</v>
      </c>
      <c r="E21" s="32">
        <v>45.463999999999999</v>
      </c>
      <c r="F21" s="32">
        <v>180</v>
      </c>
      <c r="G21" s="32">
        <v>0</v>
      </c>
      <c r="H21" s="32">
        <v>975</v>
      </c>
      <c r="I21" s="34">
        <v>1.7250000000000001E-2</v>
      </c>
      <c r="J21" s="34">
        <v>1.7119999999999999E-4</v>
      </c>
      <c r="K21" s="34">
        <v>1.449E-5</v>
      </c>
      <c r="L21" s="32">
        <v>2227.0658649315246</v>
      </c>
      <c r="M21" s="32">
        <v>10.899635912628</v>
      </c>
      <c r="N21" s="32">
        <v>0</v>
      </c>
      <c r="O21" s="32">
        <v>0</v>
      </c>
      <c r="P21" s="32">
        <v>0</v>
      </c>
      <c r="Q21" s="32">
        <v>0</v>
      </c>
      <c r="R21" s="32">
        <v>8.9804259114783472E-4</v>
      </c>
      <c r="S21" s="32">
        <v>0</v>
      </c>
      <c r="T21" s="32">
        <v>1.7960851822956692E-2</v>
      </c>
      <c r="U21" s="32">
        <v>0</v>
      </c>
      <c r="V21" s="32">
        <v>0</v>
      </c>
      <c r="W21" s="32">
        <v>3.0084426803452462E-2</v>
      </c>
      <c r="X21" s="32">
        <v>1.2123574980495768E-2</v>
      </c>
      <c r="Y21" s="32">
        <v>2.6941277734435043E-3</v>
      </c>
      <c r="Z21" s="32">
        <v>1.9981447653039321E-3</v>
      </c>
      <c r="AA21" s="32">
        <v>1.3470638867217521E-3</v>
      </c>
      <c r="AB21" s="32">
        <v>1.3470638867217521E-3</v>
      </c>
      <c r="AC21" s="32">
        <v>1.0967345144392932E-2</v>
      </c>
    </row>
    <row r="22" spans="1:29" x14ac:dyDescent="0.25">
      <c r="A22" s="32">
        <v>20</v>
      </c>
      <c r="B22" s="32">
        <v>10.949463825786999</v>
      </c>
      <c r="C22" s="32">
        <v>24.444400999999999</v>
      </c>
      <c r="D22" s="32">
        <v>397.90600000000001</v>
      </c>
      <c r="E22" s="32">
        <v>45.542000000000002</v>
      </c>
      <c r="F22" s="32">
        <v>180</v>
      </c>
      <c r="G22" s="32">
        <v>0</v>
      </c>
      <c r="H22" s="32">
        <v>975</v>
      </c>
      <c r="I22" s="34">
        <v>1.7250000000000001E-2</v>
      </c>
      <c r="J22" s="34">
        <v>1.6860000000000001E-4</v>
      </c>
      <c r="K22" s="34">
        <v>1.4630000000000001E-5</v>
      </c>
      <c r="L22" s="32">
        <v>2196.2212718764467</v>
      </c>
      <c r="M22" s="32">
        <v>10.949463825786999</v>
      </c>
      <c r="N22" s="32">
        <v>0</v>
      </c>
      <c r="O22" s="32">
        <v>0</v>
      </c>
      <c r="P22" s="32">
        <v>0</v>
      </c>
      <c r="Q22" s="32">
        <v>0</v>
      </c>
      <c r="R22" s="32">
        <v>1.3659825803603142E-3</v>
      </c>
      <c r="S22" s="32">
        <v>0</v>
      </c>
      <c r="T22" s="32">
        <v>1.3659825803603143E-2</v>
      </c>
      <c r="U22" s="32">
        <v>0</v>
      </c>
      <c r="V22" s="32">
        <v>0</v>
      </c>
      <c r="W22" s="32">
        <v>4.0068822357235884E-2</v>
      </c>
      <c r="X22" s="32">
        <v>1.2487357422127206E-2</v>
      </c>
      <c r="Y22" s="32">
        <v>1.3659825803603142E-3</v>
      </c>
      <c r="Z22" s="32">
        <v>9.1065505357354286E-4</v>
      </c>
      <c r="AA22" s="32">
        <v>1.3659825803603142E-3</v>
      </c>
      <c r="AB22" s="32">
        <v>2.5270677736665813E-3</v>
      </c>
      <c r="AC22" s="32">
        <v>1.320449827681637E-2</v>
      </c>
    </row>
    <row r="23" spans="1:29" x14ac:dyDescent="0.25">
      <c r="A23" s="32">
        <v>21</v>
      </c>
      <c r="B23" s="32">
        <v>10.999373660594999</v>
      </c>
      <c r="C23" s="32">
        <v>24.805343000000001</v>
      </c>
      <c r="D23" s="32">
        <v>395.952</v>
      </c>
      <c r="E23" s="32">
        <v>45.62</v>
      </c>
      <c r="F23" s="32">
        <v>180</v>
      </c>
      <c r="G23" s="32">
        <v>0</v>
      </c>
      <c r="H23" s="32">
        <v>975</v>
      </c>
      <c r="I23" s="34">
        <v>1.7270000000000001E-2</v>
      </c>
      <c r="J23" s="34">
        <v>1.708E-4</v>
      </c>
      <c r="K23" s="34">
        <v>1.448E-5</v>
      </c>
      <c r="L23" s="32">
        <v>2165.9382065343216</v>
      </c>
      <c r="M23" s="32">
        <v>10.999373660594999</v>
      </c>
      <c r="N23" s="32">
        <v>0</v>
      </c>
      <c r="O23" s="32">
        <v>0</v>
      </c>
      <c r="P23" s="32">
        <v>0</v>
      </c>
      <c r="Q23" s="32">
        <v>0</v>
      </c>
      <c r="R23" s="32">
        <v>9.2338737733435323E-4</v>
      </c>
      <c r="S23" s="32">
        <v>0</v>
      </c>
      <c r="T23" s="32">
        <v>1.6620972792018358E-2</v>
      </c>
      <c r="U23" s="32">
        <v>4.6169368866717662E-4</v>
      </c>
      <c r="V23" s="32">
        <v>4.6169368866717662E-4</v>
      </c>
      <c r="W23" s="32">
        <v>4.023660496734445E-2</v>
      </c>
      <c r="X23" s="32">
        <v>1.5893805232367556E-2</v>
      </c>
      <c r="Y23" s="32">
        <v>1.6505549369851566E-3</v>
      </c>
      <c r="Z23" s="32">
        <v>0</v>
      </c>
      <c r="AA23" s="32">
        <v>1.38508106600153E-3</v>
      </c>
      <c r="AB23" s="32">
        <v>2.8971278963865338E-3</v>
      </c>
      <c r="AC23" s="32">
        <v>1.4774198037349652E-2</v>
      </c>
    </row>
    <row r="24" spans="1:29" x14ac:dyDescent="0.25">
      <c r="A24" s="32">
        <v>22</v>
      </c>
      <c r="B24" s="32">
        <v>11.049716877751001</v>
      </c>
      <c r="C24" s="32">
        <v>25.258154000000001</v>
      </c>
      <c r="D24" s="32">
        <v>396.83600000000001</v>
      </c>
      <c r="E24" s="32">
        <v>45.697000000000003</v>
      </c>
      <c r="F24" s="32">
        <v>180</v>
      </c>
      <c r="G24" s="32">
        <v>0</v>
      </c>
      <c r="H24" s="32">
        <v>975</v>
      </c>
      <c r="I24" s="34">
        <v>1.737E-2</v>
      </c>
      <c r="J24" s="34">
        <v>1.718E-4</v>
      </c>
      <c r="K24" s="34">
        <v>1.453E-5</v>
      </c>
      <c r="L24" s="32">
        <v>2151.4126823562274</v>
      </c>
      <c r="M24" s="32">
        <v>11.049716877751001</v>
      </c>
      <c r="N24" s="32">
        <v>0</v>
      </c>
      <c r="O24" s="32">
        <v>0</v>
      </c>
      <c r="P24" s="32">
        <v>0</v>
      </c>
      <c r="Q24" s="32">
        <v>0</v>
      </c>
      <c r="R24" s="32">
        <v>4.6481086971412658E-4</v>
      </c>
      <c r="S24" s="32">
        <v>0</v>
      </c>
      <c r="T24" s="32">
        <v>1.5338758700566177E-2</v>
      </c>
      <c r="U24" s="32">
        <v>0</v>
      </c>
      <c r="V24" s="32">
        <v>4.6481086971412658E-4</v>
      </c>
      <c r="W24" s="32">
        <v>4.5551465231984403E-2</v>
      </c>
      <c r="X24" s="32">
        <v>1.9719601147621817E-2</v>
      </c>
      <c r="Y24" s="32">
        <v>1.3944326091423797E-3</v>
      </c>
      <c r="Z24" s="32">
        <v>3.253676087998886E-3</v>
      </c>
      <c r="AA24" s="32">
        <v>4.6481086971412658E-4</v>
      </c>
      <c r="AB24" s="32">
        <v>6.0425413062836454E-3</v>
      </c>
      <c r="AC24" s="32">
        <v>2.0916489137135695E-2</v>
      </c>
    </row>
    <row r="25" spans="1:29" x14ac:dyDescent="0.25">
      <c r="A25" s="32">
        <v>23</v>
      </c>
      <c r="B25" s="32">
        <v>11.099853399863999</v>
      </c>
      <c r="C25" s="32">
        <v>25.603376999999998</v>
      </c>
      <c r="D25" s="32">
        <v>398.64299999999997</v>
      </c>
      <c r="E25" s="32">
        <v>45.774999999999999</v>
      </c>
      <c r="F25" s="32">
        <v>180</v>
      </c>
      <c r="G25" s="32">
        <v>0</v>
      </c>
      <c r="H25" s="32">
        <v>975</v>
      </c>
      <c r="I25" s="34">
        <v>1.7500000000000002E-2</v>
      </c>
      <c r="J25" s="34">
        <v>1.716E-4</v>
      </c>
      <c r="K25" s="34">
        <v>1.467E-5</v>
      </c>
      <c r="L25" s="32">
        <v>2142.1814558816222</v>
      </c>
      <c r="M25" s="32">
        <v>11.099853399863999</v>
      </c>
      <c r="N25" s="32">
        <v>4.6681386268860518E-4</v>
      </c>
      <c r="O25" s="32">
        <v>0</v>
      </c>
      <c r="P25" s="32">
        <v>0</v>
      </c>
      <c r="Q25" s="32">
        <v>0</v>
      </c>
      <c r="R25" s="32">
        <v>1.4004415880658155E-3</v>
      </c>
      <c r="S25" s="32">
        <v>0</v>
      </c>
      <c r="T25" s="32">
        <v>2.8942459486693523E-2</v>
      </c>
      <c r="U25" s="32">
        <v>4.6681386268860518E-4</v>
      </c>
      <c r="V25" s="32">
        <v>0</v>
      </c>
      <c r="W25" s="32">
        <v>7.9848511212885928E-2</v>
      </c>
      <c r="X25" s="32">
        <v>1.5603253360366628E-2</v>
      </c>
      <c r="Y25" s="32">
        <v>3.5361150098661845E-3</v>
      </c>
      <c r="Z25" s="32">
        <v>4.5397648146466851E-3</v>
      </c>
      <c r="AA25" s="32">
        <v>9.3362772537721036E-4</v>
      </c>
      <c r="AB25" s="32">
        <v>8.6593971528736262E-3</v>
      </c>
      <c r="AC25" s="32">
        <v>5.1081106924700623E-2</v>
      </c>
    </row>
    <row r="26" spans="1:29" x14ac:dyDescent="0.25">
      <c r="A26" s="32">
        <v>24</v>
      </c>
      <c r="B26" s="32">
        <v>11.152426230863</v>
      </c>
      <c r="C26" s="32">
        <v>26.341593</v>
      </c>
      <c r="D26" s="32">
        <v>398.20800000000003</v>
      </c>
      <c r="E26" s="32">
        <v>45.851999999999997</v>
      </c>
      <c r="F26" s="32">
        <v>180</v>
      </c>
      <c r="G26" s="32">
        <v>0</v>
      </c>
      <c r="H26" s="32">
        <v>975</v>
      </c>
      <c r="I26" s="34">
        <v>1.7440000000000001E-2</v>
      </c>
      <c r="J26" s="34">
        <v>1.7119999999999999E-4</v>
      </c>
      <c r="K26" s="34">
        <v>1.453E-5</v>
      </c>
      <c r="L26" s="32">
        <v>2126.3883996028339</v>
      </c>
      <c r="M26" s="32">
        <v>11.152426230863</v>
      </c>
      <c r="N26" s="32">
        <v>0</v>
      </c>
      <c r="O26" s="32">
        <v>0</v>
      </c>
      <c r="P26" s="32">
        <v>0</v>
      </c>
      <c r="Q26" s="32">
        <v>0</v>
      </c>
      <c r="R26" s="32">
        <v>1.410842911182331E-3</v>
      </c>
      <c r="S26" s="32">
        <v>0</v>
      </c>
      <c r="T26" s="32">
        <v>2.6335734342070177E-2</v>
      </c>
      <c r="U26" s="32">
        <v>0</v>
      </c>
      <c r="V26" s="32">
        <v>9.4056194078822068E-4</v>
      </c>
      <c r="W26" s="32">
        <v>5.1754420791871841E-2</v>
      </c>
      <c r="X26" s="32">
        <v>2.0621820551781737E-2</v>
      </c>
      <c r="Y26" s="32">
        <v>4.0326593211294955E-3</v>
      </c>
      <c r="Z26" s="32">
        <v>2.3514048519705515E-3</v>
      </c>
      <c r="AA26" s="32">
        <v>1.410842911182331E-3</v>
      </c>
      <c r="AB26" s="32">
        <v>5.7726989115877043E-3</v>
      </c>
      <c r="AC26" s="32">
        <v>3.5941223162369883E-2</v>
      </c>
    </row>
    <row r="27" spans="1:29" x14ac:dyDescent="0.25">
      <c r="A27" s="32">
        <v>25</v>
      </c>
      <c r="B27" s="32">
        <v>11.199896698266</v>
      </c>
      <c r="C27" s="32">
        <v>26.588439999999999</v>
      </c>
      <c r="D27" s="32">
        <v>396.22500000000002</v>
      </c>
      <c r="E27" s="32">
        <v>45.929000000000002</v>
      </c>
      <c r="F27" s="32">
        <v>180</v>
      </c>
      <c r="G27" s="32">
        <v>0</v>
      </c>
      <c r="H27" s="32">
        <v>975</v>
      </c>
      <c r="I27" s="34">
        <v>1.7270000000000001E-2</v>
      </c>
      <c r="J27" s="34">
        <v>1.7119999999999999E-4</v>
      </c>
      <c r="K27" s="34">
        <v>1.467E-5</v>
      </c>
      <c r="L27" s="32">
        <v>2104.5641505207514</v>
      </c>
      <c r="M27" s="32">
        <v>11.199896698266</v>
      </c>
      <c r="N27" s="32">
        <v>0</v>
      </c>
      <c r="O27" s="32">
        <v>4.7515776592153819E-4</v>
      </c>
      <c r="P27" s="32">
        <v>4.7515776592153819E-4</v>
      </c>
      <c r="Q27" s="32">
        <v>0</v>
      </c>
      <c r="R27" s="32">
        <v>1.4254732977646144E-3</v>
      </c>
      <c r="S27" s="32">
        <v>0</v>
      </c>
      <c r="T27" s="32">
        <v>1.6879979634362642E-2</v>
      </c>
      <c r="U27" s="32">
        <v>0</v>
      </c>
      <c r="V27" s="32">
        <v>4.7515776592153819E-4</v>
      </c>
      <c r="W27" s="32">
        <v>3.5280464119674212E-2</v>
      </c>
      <c r="X27" s="32">
        <v>2.4838872213548406E-2</v>
      </c>
      <c r="Y27" s="32">
        <v>2.8509465955292288E-3</v>
      </c>
      <c r="Z27" s="32">
        <v>3.8012621273723055E-3</v>
      </c>
      <c r="AA27" s="32">
        <v>6.6522087229015342E-4</v>
      </c>
      <c r="AB27" s="32">
        <v>8.5528397865876869E-3</v>
      </c>
      <c r="AC27" s="32">
        <v>2.9186565771730479E-2</v>
      </c>
    </row>
    <row r="28" spans="1:29" x14ac:dyDescent="0.25">
      <c r="A28" s="32">
        <v>26</v>
      </c>
      <c r="B28" s="32">
        <v>11.250057197706999</v>
      </c>
      <c r="C28" s="32">
        <v>27.115565</v>
      </c>
      <c r="D28" s="32">
        <v>399.51</v>
      </c>
      <c r="E28" s="32">
        <v>46.006</v>
      </c>
      <c r="F28" s="32">
        <v>180</v>
      </c>
      <c r="G28" s="32">
        <v>0</v>
      </c>
      <c r="H28" s="32">
        <v>975</v>
      </c>
      <c r="I28" s="34">
        <v>1.7250000000000001E-2</v>
      </c>
      <c r="J28" s="34">
        <v>1.697E-4</v>
      </c>
      <c r="K28" s="34">
        <v>1.4600000000000001E-5</v>
      </c>
      <c r="L28" s="32">
        <v>2110.1722147947185</v>
      </c>
      <c r="M28" s="32">
        <v>11.250057197706999</v>
      </c>
      <c r="N28" s="32">
        <v>0</v>
      </c>
      <c r="O28" s="32">
        <v>0</v>
      </c>
      <c r="P28" s="32">
        <v>0</v>
      </c>
      <c r="Q28" s="32">
        <v>0</v>
      </c>
      <c r="R28" s="32">
        <v>1.4216849122391868E-3</v>
      </c>
      <c r="S28" s="32">
        <v>0</v>
      </c>
      <c r="T28" s="32">
        <v>1.6361223865019307E-2</v>
      </c>
      <c r="U28" s="32">
        <v>0</v>
      </c>
      <c r="V28" s="32">
        <v>0</v>
      </c>
      <c r="W28" s="32">
        <v>3.5589512303054308E-2</v>
      </c>
      <c r="X28" s="32">
        <v>2.4642538478812575E-2</v>
      </c>
      <c r="Y28" s="32">
        <v>3.1158594326575516E-3</v>
      </c>
      <c r="Z28" s="32">
        <v>1.0307215613734105E-3</v>
      </c>
      <c r="AA28" s="32">
        <v>1.753411391761664E-3</v>
      </c>
      <c r="AB28" s="32">
        <v>1.1503800414868754E-2</v>
      </c>
      <c r="AC28" s="32">
        <v>2.4571454233200615E-2</v>
      </c>
    </row>
    <row r="29" spans="1:29" x14ac:dyDescent="0.25">
      <c r="A29" s="32">
        <v>27</v>
      </c>
      <c r="B29" s="32">
        <v>11.299479338816999</v>
      </c>
      <c r="C29" s="32">
        <v>27.568026</v>
      </c>
      <c r="D29" s="32">
        <v>397.45499999999998</v>
      </c>
      <c r="E29" s="32">
        <v>46.082000000000001</v>
      </c>
      <c r="F29" s="32">
        <v>180</v>
      </c>
      <c r="G29" s="32">
        <v>0</v>
      </c>
      <c r="H29" s="32">
        <v>975</v>
      </c>
      <c r="I29" s="34">
        <v>1.7309999999999999E-2</v>
      </c>
      <c r="J29" s="34">
        <v>1.7100000000000001E-4</v>
      </c>
      <c r="K29" s="34">
        <v>1.4600000000000001E-5</v>
      </c>
      <c r="L29" s="32">
        <v>2087.8397288818433</v>
      </c>
      <c r="M29" s="32">
        <v>11.299479338816999</v>
      </c>
      <c r="N29" s="32">
        <v>0</v>
      </c>
      <c r="O29" s="32">
        <v>4.7896396747635261E-4</v>
      </c>
      <c r="P29" s="32">
        <v>4.7896396747635261E-4</v>
      </c>
      <c r="Q29" s="32">
        <v>0</v>
      </c>
      <c r="R29" s="32">
        <v>1.4368919024290577E-3</v>
      </c>
      <c r="S29" s="32">
        <v>0</v>
      </c>
      <c r="T29" s="32">
        <v>2.0595450601483163E-2</v>
      </c>
      <c r="U29" s="32">
        <v>0</v>
      </c>
      <c r="V29" s="32">
        <v>4.7896396747635261E-4</v>
      </c>
      <c r="W29" s="32">
        <v>3.7407085859903134E-2</v>
      </c>
      <c r="X29" s="32">
        <v>2.1756938222613317E-2</v>
      </c>
      <c r="Y29" s="32">
        <v>4.5860799885860757E-3</v>
      </c>
      <c r="Z29" s="32">
        <v>5.6158525186602339E-3</v>
      </c>
      <c r="AA29" s="32">
        <v>2.3948198373817632E-3</v>
      </c>
      <c r="AB29" s="32">
        <v>1.354270618039387E-2</v>
      </c>
      <c r="AC29" s="32">
        <v>3.3527477723344683E-2</v>
      </c>
    </row>
    <row r="30" spans="1:29" x14ac:dyDescent="0.25">
      <c r="A30" s="32">
        <v>28</v>
      </c>
      <c r="B30" s="32">
        <v>11.349212617671</v>
      </c>
      <c r="C30" s="32">
        <v>27.875661999999998</v>
      </c>
      <c r="D30" s="32">
        <v>395.36099999999999</v>
      </c>
      <c r="E30" s="32">
        <v>46.158000000000001</v>
      </c>
      <c r="F30" s="32">
        <v>180</v>
      </c>
      <c r="G30" s="32">
        <v>0</v>
      </c>
      <c r="H30" s="32">
        <v>975</v>
      </c>
      <c r="I30" s="34">
        <v>1.7270000000000001E-2</v>
      </c>
      <c r="J30" s="34">
        <v>1.694E-4</v>
      </c>
      <c r="K30" s="34">
        <v>1.455E-5</v>
      </c>
      <c r="L30" s="32">
        <v>2065.4756607761442</v>
      </c>
      <c r="M30" s="32">
        <v>11.349212617671</v>
      </c>
      <c r="N30" s="32">
        <v>0</v>
      </c>
      <c r="O30" s="32">
        <v>0</v>
      </c>
      <c r="P30" s="32">
        <v>0</v>
      </c>
      <c r="Q30" s="32">
        <v>0</v>
      </c>
      <c r="R30" s="32">
        <v>9.682999601401546E-4</v>
      </c>
      <c r="S30" s="32">
        <v>0</v>
      </c>
      <c r="T30" s="32">
        <v>1.6715278061919418E-2</v>
      </c>
      <c r="U30" s="32">
        <v>4.841499800700773E-4</v>
      </c>
      <c r="V30" s="32">
        <v>0</v>
      </c>
      <c r="W30" s="32">
        <v>3.5899721022196233E-2</v>
      </c>
      <c r="X30" s="32">
        <v>2.4691648983573945E-2</v>
      </c>
      <c r="Y30" s="32">
        <v>9.682999601401546E-4</v>
      </c>
      <c r="Z30" s="32">
        <v>3.3890498604905411E-3</v>
      </c>
      <c r="AA30" s="32">
        <v>2.2755049063293634E-3</v>
      </c>
      <c r="AB30" s="32">
        <v>7.8795409256405078E-3</v>
      </c>
      <c r="AC30" s="32">
        <v>2.3723349023433787E-2</v>
      </c>
    </row>
    <row r="31" spans="1:29" x14ac:dyDescent="0.25">
      <c r="A31" s="32">
        <v>29</v>
      </c>
      <c r="B31" s="32">
        <v>11.399234288075</v>
      </c>
      <c r="C31" s="32">
        <v>28.457144</v>
      </c>
      <c r="D31" s="32">
        <v>398.94</v>
      </c>
      <c r="E31" s="32">
        <v>46.234000000000002</v>
      </c>
      <c r="F31" s="32">
        <v>180</v>
      </c>
      <c r="G31" s="32">
        <v>0</v>
      </c>
      <c r="H31" s="32">
        <v>975</v>
      </c>
      <c r="I31" s="34">
        <v>1.7229999999999999E-2</v>
      </c>
      <c r="J31" s="34">
        <v>1.6880000000000001E-4</v>
      </c>
      <c r="K31" s="34">
        <v>1.448E-5</v>
      </c>
      <c r="L31" s="32">
        <v>2072.7656346557233</v>
      </c>
      <c r="M31" s="32">
        <v>11.399234288075</v>
      </c>
      <c r="N31" s="32">
        <v>4.824472112430093E-4</v>
      </c>
      <c r="O31" s="32">
        <v>0</v>
      </c>
      <c r="P31" s="32">
        <v>0</v>
      </c>
      <c r="Q31" s="32">
        <v>0</v>
      </c>
      <c r="R31" s="32">
        <v>1.447341633729028E-3</v>
      </c>
      <c r="S31" s="32">
        <v>0</v>
      </c>
      <c r="T31" s="32">
        <v>2.3157466139664448E-2</v>
      </c>
      <c r="U31" s="32">
        <v>0</v>
      </c>
      <c r="V31" s="32">
        <v>0</v>
      </c>
      <c r="W31" s="32">
        <v>3.6690110415030855E-2</v>
      </c>
      <c r="X31" s="32">
        <v>2.5292295049414763E-2</v>
      </c>
      <c r="Y31" s="32">
        <v>3.8595776899440744E-3</v>
      </c>
      <c r="Z31" s="32">
        <v>4.2093519180952561E-3</v>
      </c>
      <c r="AA31" s="32">
        <v>3.8595776899440744E-3</v>
      </c>
      <c r="AB31" s="32">
        <v>1.2543627492318242E-2</v>
      </c>
      <c r="AC31" s="32">
        <v>2.4049993480464014E-2</v>
      </c>
    </row>
    <row r="32" spans="1:29" x14ac:dyDescent="0.25">
      <c r="A32" s="32">
        <v>30</v>
      </c>
      <c r="B32" s="32">
        <v>11.449800635673</v>
      </c>
      <c r="C32" s="32">
        <v>28.868817</v>
      </c>
      <c r="D32" s="32">
        <v>396.95600000000002</v>
      </c>
      <c r="E32" s="32">
        <v>46.31</v>
      </c>
      <c r="F32" s="32">
        <v>180</v>
      </c>
      <c r="G32" s="32">
        <v>0</v>
      </c>
      <c r="H32" s="32">
        <v>975</v>
      </c>
      <c r="I32" s="34">
        <v>1.72E-2</v>
      </c>
      <c r="J32" s="34">
        <v>1.696E-4</v>
      </c>
      <c r="K32" s="34">
        <v>1.453E-5</v>
      </c>
      <c r="L32" s="32">
        <v>2051.1084190774586</v>
      </c>
      <c r="M32" s="32">
        <v>11.449800635673</v>
      </c>
      <c r="N32" s="32">
        <v>4.8754126827180448E-4</v>
      </c>
      <c r="O32" s="32">
        <v>0</v>
      </c>
      <c r="P32" s="32">
        <v>0</v>
      </c>
      <c r="Q32" s="32">
        <v>0</v>
      </c>
      <c r="R32" s="32">
        <v>0</v>
      </c>
      <c r="S32" s="32">
        <v>1.3407384877474625E-4</v>
      </c>
      <c r="T32" s="32">
        <v>1.9501650730872178E-2</v>
      </c>
      <c r="U32" s="32">
        <v>0</v>
      </c>
      <c r="V32" s="32">
        <v>0</v>
      </c>
      <c r="W32" s="32">
        <v>3.0812608154778043E-2</v>
      </c>
      <c r="X32" s="32">
        <v>2.7923926140267601E-2</v>
      </c>
      <c r="Y32" s="32">
        <v>2.9252476096308269E-3</v>
      </c>
      <c r="Z32" s="32">
        <v>6.4233562094810244E-3</v>
      </c>
      <c r="AA32" s="32">
        <v>6.3380364875334581E-3</v>
      </c>
      <c r="AB32" s="32">
        <v>1.657640312124135E-2</v>
      </c>
      <c r="AC32" s="32">
        <v>2.5352145950133832E-2</v>
      </c>
    </row>
    <row r="33" spans="1:29" x14ac:dyDescent="0.25">
      <c r="A33" s="32">
        <v>31</v>
      </c>
      <c r="B33" s="32">
        <v>11.499508402167001</v>
      </c>
      <c r="C33" s="32">
        <v>29.393115000000002</v>
      </c>
      <c r="D33" s="32">
        <v>393.642</v>
      </c>
      <c r="E33" s="32">
        <v>46.384999999999998</v>
      </c>
      <c r="F33" s="32">
        <v>180</v>
      </c>
      <c r="G33" s="32">
        <v>0</v>
      </c>
      <c r="H33" s="32">
        <v>975</v>
      </c>
      <c r="I33" s="34">
        <v>1.72E-2</v>
      </c>
      <c r="J33" s="34">
        <v>1.6899999999999999E-4</v>
      </c>
      <c r="K33" s="34">
        <v>1.446E-5</v>
      </c>
      <c r="L33" s="32">
        <v>2023.0415993492027</v>
      </c>
      <c r="M33" s="32">
        <v>11.499508402167001</v>
      </c>
      <c r="N33" s="32">
        <v>0</v>
      </c>
      <c r="O33" s="32">
        <v>0</v>
      </c>
      <c r="P33" s="32">
        <v>0</v>
      </c>
      <c r="Q33" s="32">
        <v>4.9430520871231339E-4</v>
      </c>
      <c r="R33" s="32">
        <v>4.9430520871231339E-4</v>
      </c>
      <c r="S33" s="32">
        <v>1.4829156261369403E-3</v>
      </c>
      <c r="T33" s="32">
        <v>1.9772208348492536E-2</v>
      </c>
      <c r="U33" s="32">
        <v>0</v>
      </c>
      <c r="V33" s="32">
        <v>0</v>
      </c>
      <c r="W33" s="32">
        <v>4.1521637531834327E-2</v>
      </c>
      <c r="X33" s="32">
        <v>3.777727557583855E-2</v>
      </c>
      <c r="Y33" s="32">
        <v>2.0513666161561007E-3</v>
      </c>
      <c r="Z33" s="32">
        <v>6.4259677132600746E-3</v>
      </c>
      <c r="AA33" s="32">
        <v>5.9316625045477611E-3</v>
      </c>
      <c r="AB33" s="32">
        <v>1.5817766678794028E-2</v>
      </c>
      <c r="AC33" s="32">
        <v>3.0857002653866164E-2</v>
      </c>
    </row>
    <row r="34" spans="1:29" x14ac:dyDescent="0.25">
      <c r="A34" s="32">
        <v>32</v>
      </c>
      <c r="B34" s="32">
        <v>11.549960361678</v>
      </c>
      <c r="C34" s="32">
        <v>30.185652000000001</v>
      </c>
      <c r="D34" s="32">
        <v>397.21100000000001</v>
      </c>
      <c r="E34" s="32">
        <v>46.460999999999999</v>
      </c>
      <c r="F34" s="32">
        <v>180</v>
      </c>
      <c r="G34" s="32">
        <v>0</v>
      </c>
      <c r="H34" s="32">
        <v>975</v>
      </c>
      <c r="I34" s="34">
        <v>1.72E-2</v>
      </c>
      <c r="J34" s="34">
        <v>1.697E-4</v>
      </c>
      <c r="K34" s="34">
        <v>1.4579999999999999E-5</v>
      </c>
      <c r="L34" s="32">
        <v>2030.2969660994804</v>
      </c>
      <c r="M34" s="32">
        <v>11.549960361678</v>
      </c>
      <c r="N34" s="32">
        <v>0</v>
      </c>
      <c r="O34" s="32">
        <v>0</v>
      </c>
      <c r="P34" s="32">
        <v>0</v>
      </c>
      <c r="Q34" s="32">
        <v>0</v>
      </c>
      <c r="R34" s="32">
        <v>1.4776163537117781E-3</v>
      </c>
      <c r="S34" s="32">
        <v>2.4626939228529635E-3</v>
      </c>
      <c r="T34" s="32">
        <v>2.0711255891193422E-2</v>
      </c>
      <c r="U34" s="32">
        <v>4.9253878457059279E-4</v>
      </c>
      <c r="V34" s="32">
        <v>4.9253878457059279E-4</v>
      </c>
      <c r="W34" s="32">
        <v>4.72837233187769E-2</v>
      </c>
      <c r="X34" s="32">
        <v>2.5821345781113322E-2</v>
      </c>
      <c r="Y34" s="32">
        <v>2.2533649394104616E-3</v>
      </c>
      <c r="Z34" s="32">
        <v>9.5798793598980275E-3</v>
      </c>
      <c r="AA34" s="32">
        <v>2.9552327074235563E-3</v>
      </c>
      <c r="AB34" s="32">
        <v>1.4554521084061016E-2</v>
      </c>
      <c r="AC34" s="32">
        <v>2.9269117273107471E-2</v>
      </c>
    </row>
    <row r="35" spans="1:29" x14ac:dyDescent="0.25">
      <c r="A35" s="32">
        <v>33</v>
      </c>
      <c r="B35" s="32">
        <v>11.599655478452</v>
      </c>
      <c r="C35" s="32">
        <v>31.623187000000001</v>
      </c>
      <c r="D35" s="32">
        <v>395.28300000000002</v>
      </c>
      <c r="E35" s="32">
        <v>46.536000000000001</v>
      </c>
      <c r="F35" s="32">
        <v>180</v>
      </c>
      <c r="G35" s="32">
        <v>0</v>
      </c>
      <c r="H35" s="32">
        <v>975</v>
      </c>
      <c r="I35" s="34">
        <v>1.7389999999999999E-2</v>
      </c>
      <c r="J35" s="34">
        <v>1.6880000000000001E-4</v>
      </c>
      <c r="K35" s="34">
        <v>1.449E-5</v>
      </c>
      <c r="L35" s="32">
        <v>2009.691307581048</v>
      </c>
      <c r="M35" s="32">
        <v>11.599655478452</v>
      </c>
      <c r="N35" s="32">
        <v>0</v>
      </c>
      <c r="O35" s="32">
        <v>0</v>
      </c>
      <c r="P35" s="32">
        <v>4.9758885667055186E-4</v>
      </c>
      <c r="Q35" s="32">
        <v>0</v>
      </c>
      <c r="R35" s="32">
        <v>9.9517771334110372E-4</v>
      </c>
      <c r="S35" s="32">
        <v>1.9903554266822074E-3</v>
      </c>
      <c r="T35" s="32">
        <v>2.7864975973550903E-2</v>
      </c>
      <c r="U35" s="32">
        <v>4.9758885667055186E-4</v>
      </c>
      <c r="V35" s="32">
        <v>4.8514913525378808E-4</v>
      </c>
      <c r="W35" s="32">
        <v>0.10213011283163076</v>
      </c>
      <c r="X35" s="32">
        <v>3.9943945469228553E-2</v>
      </c>
      <c r="Y35" s="32">
        <v>4.7644133026205331E-3</v>
      </c>
      <c r="Z35" s="32">
        <v>2.1259483901249328E-2</v>
      </c>
      <c r="AA35" s="32">
        <v>4.3290230530338009E-3</v>
      </c>
      <c r="AB35" s="32">
        <v>1.9542802345735924E-2</v>
      </c>
      <c r="AC35" s="32">
        <v>7.8258287432861048E-2</v>
      </c>
    </row>
    <row r="36" spans="1:29" x14ac:dyDescent="0.25">
      <c r="A36" s="32">
        <v>34</v>
      </c>
      <c r="B36" s="32">
        <v>11.649885454166</v>
      </c>
      <c r="C36" s="32">
        <v>6.1305249999999996</v>
      </c>
      <c r="D36" s="32">
        <v>397.25599999999997</v>
      </c>
      <c r="E36" s="32">
        <v>46.610999999999997</v>
      </c>
      <c r="F36" s="32">
        <v>180</v>
      </c>
      <c r="G36" s="32">
        <v>0</v>
      </c>
      <c r="H36" s="32">
        <v>975</v>
      </c>
      <c r="I36" s="34">
        <v>1.7309999999999999E-2</v>
      </c>
      <c r="J36" s="34">
        <v>1.7039999999999999E-4</v>
      </c>
      <c r="K36" s="34">
        <v>1.453E-5</v>
      </c>
      <c r="L36" s="32">
        <v>2008.9177591506061</v>
      </c>
      <c r="M36" s="32">
        <v>11.649885454166</v>
      </c>
      <c r="N36" s="32">
        <v>0</v>
      </c>
      <c r="O36" s="32">
        <v>0</v>
      </c>
      <c r="P36" s="32">
        <v>0</v>
      </c>
      <c r="Q36" s="32">
        <v>0</v>
      </c>
      <c r="R36" s="32">
        <v>0</v>
      </c>
      <c r="S36" s="32">
        <v>9.9556091377559592E-4</v>
      </c>
      <c r="T36" s="32">
        <v>1.4933413706633939E-3</v>
      </c>
      <c r="U36" s="32">
        <v>0</v>
      </c>
      <c r="V36" s="32">
        <v>0</v>
      </c>
      <c r="W36" s="32">
        <v>5.9733654826535755E-3</v>
      </c>
      <c r="X36" s="32">
        <v>1.9911218275511918E-3</v>
      </c>
      <c r="Y36" s="32">
        <v>4.9778045688779796E-4</v>
      </c>
      <c r="Z36" s="32">
        <v>9.9556091377559592E-4</v>
      </c>
      <c r="AA36" s="32">
        <v>9.9556091377559592E-4</v>
      </c>
      <c r="AB36" s="32">
        <v>4.97780456887798E-3</v>
      </c>
      <c r="AC36" s="32">
        <v>1.9911218275511918E-3</v>
      </c>
    </row>
    <row r="37" spans="1:29" x14ac:dyDescent="0.25">
      <c r="A37" s="32">
        <v>35</v>
      </c>
      <c r="B37" s="32">
        <v>11.699542657568999</v>
      </c>
      <c r="C37" s="32">
        <v>27.933596999999999</v>
      </c>
      <c r="D37" s="32">
        <v>395.13099999999997</v>
      </c>
      <c r="E37" s="32">
        <v>46.685000000000002</v>
      </c>
      <c r="F37" s="32">
        <v>180</v>
      </c>
      <c r="G37" s="32">
        <v>0</v>
      </c>
      <c r="H37" s="32">
        <v>975</v>
      </c>
      <c r="I37" s="34">
        <v>1.72E-2</v>
      </c>
      <c r="J37" s="34">
        <v>1.694E-4</v>
      </c>
      <c r="K37" s="34">
        <v>1.453E-5</v>
      </c>
      <c r="L37" s="32">
        <v>1987.6597934366523</v>
      </c>
      <c r="M37" s="32">
        <v>11.699542657568999</v>
      </c>
      <c r="N37" s="32">
        <v>0</v>
      </c>
      <c r="O37" s="32">
        <v>5.0310420490571261E-4</v>
      </c>
      <c r="P37" s="32">
        <v>0</v>
      </c>
      <c r="Q37" s="32">
        <v>0</v>
      </c>
      <c r="R37" s="32">
        <v>2.0124168196228504E-3</v>
      </c>
      <c r="S37" s="32">
        <v>4.6662915005004852E-3</v>
      </c>
      <c r="T37" s="32">
        <v>1.7105542966794229E-2</v>
      </c>
      <c r="U37" s="32">
        <v>0</v>
      </c>
      <c r="V37" s="32">
        <v>0</v>
      </c>
      <c r="W37" s="32">
        <v>3.8261074783079448E-2</v>
      </c>
      <c r="X37" s="32">
        <v>3.6361856409560384E-2</v>
      </c>
      <c r="Y37" s="32">
        <v>2.8802715730852049E-3</v>
      </c>
      <c r="Z37" s="32">
        <v>4.8926883927080554E-3</v>
      </c>
      <c r="AA37" s="32">
        <v>7.3956318121139756E-3</v>
      </c>
      <c r="AB37" s="32">
        <v>2.7721041690304767E-2</v>
      </c>
      <c r="AC37" s="32">
        <v>2.4362821122559133E-2</v>
      </c>
    </row>
    <row r="38" spans="1:29" x14ac:dyDescent="0.25">
      <c r="A38" s="32">
        <v>36</v>
      </c>
      <c r="B38" s="32">
        <v>11.750000157783001</v>
      </c>
      <c r="C38" s="32">
        <v>32.352338000000003</v>
      </c>
      <c r="D38" s="32">
        <v>399.23500000000001</v>
      </c>
      <c r="E38" s="32">
        <v>46.76</v>
      </c>
      <c r="F38" s="32">
        <v>180</v>
      </c>
      <c r="G38" s="32">
        <v>0</v>
      </c>
      <c r="H38" s="32">
        <v>975</v>
      </c>
      <c r="I38" s="34">
        <v>1.7180000000000001E-2</v>
      </c>
      <c r="J38" s="34">
        <v>1.706E-4</v>
      </c>
      <c r="K38" s="34">
        <v>1.4440000000000001E-5</v>
      </c>
      <c r="L38" s="32">
        <v>1997.6261108903157</v>
      </c>
      <c r="M38" s="32">
        <v>11.750000157783001</v>
      </c>
      <c r="N38" s="32">
        <v>0</v>
      </c>
      <c r="O38" s="32">
        <v>5.0059417753320877E-4</v>
      </c>
      <c r="P38" s="32">
        <v>0</v>
      </c>
      <c r="Q38" s="32">
        <v>5.0059417753320877E-4</v>
      </c>
      <c r="R38" s="32">
        <v>0</v>
      </c>
      <c r="S38" s="32">
        <v>6.6453877067533459E-3</v>
      </c>
      <c r="T38" s="32">
        <v>1.253988414720688E-2</v>
      </c>
      <c r="U38" s="32">
        <v>0</v>
      </c>
      <c r="V38" s="32">
        <v>4.8807932309487858E-4</v>
      </c>
      <c r="W38" s="32">
        <v>2.7082145004546594E-2</v>
      </c>
      <c r="X38" s="32">
        <v>3.696888001082746E-2</v>
      </c>
      <c r="Y38" s="32">
        <v>1.5017825325996262E-3</v>
      </c>
      <c r="Z38" s="32">
        <v>6.5077243079317134E-3</v>
      </c>
      <c r="AA38" s="32">
        <v>4.3551693445389155E-3</v>
      </c>
      <c r="AB38" s="32">
        <v>2.34403223629925E-2</v>
      </c>
      <c r="AC38" s="32">
        <v>2.8746620644844512E-2</v>
      </c>
    </row>
    <row r="39" spans="1:29" x14ac:dyDescent="0.25">
      <c r="A39" s="32">
        <v>37</v>
      </c>
      <c r="B39" s="32">
        <v>11.799219101348999</v>
      </c>
      <c r="C39" s="32">
        <v>34.148355000000002</v>
      </c>
      <c r="D39" s="32">
        <v>397.113</v>
      </c>
      <c r="E39" s="32">
        <v>46.835000000000001</v>
      </c>
      <c r="F39" s="32">
        <v>180</v>
      </c>
      <c r="G39" s="32">
        <v>0</v>
      </c>
      <c r="H39" s="32">
        <v>975</v>
      </c>
      <c r="I39" s="34">
        <v>1.7139999999999999E-2</v>
      </c>
      <c r="J39" s="34">
        <v>1.684E-4</v>
      </c>
      <c r="K39" s="34">
        <v>1.456E-5</v>
      </c>
      <c r="L39" s="32">
        <v>1976.7557756623355</v>
      </c>
      <c r="M39" s="32">
        <v>11.799219101348999</v>
      </c>
      <c r="N39" s="32">
        <v>0</v>
      </c>
      <c r="O39" s="32">
        <v>0</v>
      </c>
      <c r="P39" s="32">
        <v>0</v>
      </c>
      <c r="Q39" s="32">
        <v>0</v>
      </c>
      <c r="R39" s="32">
        <v>1.517638160938123E-3</v>
      </c>
      <c r="S39" s="32">
        <v>1.1268463344965564E-2</v>
      </c>
      <c r="T39" s="32">
        <v>1.2406691965669157E-2</v>
      </c>
      <c r="U39" s="32">
        <v>0</v>
      </c>
      <c r="V39" s="32">
        <v>1.0117587739587488E-3</v>
      </c>
      <c r="W39" s="32">
        <v>4.2013283088637041E-2</v>
      </c>
      <c r="X39" s="32">
        <v>4.6465021694055537E-2</v>
      </c>
      <c r="Y39" s="32">
        <v>1.302639421471889E-3</v>
      </c>
      <c r="Z39" s="32">
        <v>1.3152864061463734E-2</v>
      </c>
      <c r="AA39" s="32">
        <v>9.1058289656287383E-3</v>
      </c>
      <c r="AB39" s="32">
        <v>3.1642755655559865E-2</v>
      </c>
      <c r="AC39" s="32">
        <v>2.6811607509906844E-2</v>
      </c>
    </row>
    <row r="40" spans="1:29" x14ac:dyDescent="0.25">
      <c r="A40" s="32">
        <v>38</v>
      </c>
      <c r="B40" s="32">
        <v>11.849751466787</v>
      </c>
      <c r="C40" s="32">
        <v>0.48872199999999999</v>
      </c>
      <c r="D40" s="32">
        <v>395.02</v>
      </c>
      <c r="E40" s="32">
        <v>46.908999999999999</v>
      </c>
      <c r="F40" s="32">
        <v>180</v>
      </c>
      <c r="G40" s="32">
        <v>0</v>
      </c>
      <c r="H40" s="32">
        <v>975</v>
      </c>
      <c r="I40" s="34">
        <v>1.6879999999999999E-2</v>
      </c>
      <c r="J40" s="34">
        <v>1.716E-4</v>
      </c>
      <c r="K40" s="34">
        <v>1.4620000000000001E-5</v>
      </c>
      <c r="L40" s="32">
        <v>1955.9753864764341</v>
      </c>
      <c r="M40" s="32">
        <v>11.849751466787</v>
      </c>
      <c r="N40" s="32">
        <v>0</v>
      </c>
      <c r="O40" s="32">
        <v>0</v>
      </c>
      <c r="P40" s="32">
        <v>0</v>
      </c>
      <c r="Q40" s="32">
        <v>0</v>
      </c>
      <c r="R40" s="32">
        <v>0</v>
      </c>
      <c r="S40" s="32">
        <v>0</v>
      </c>
      <c r="T40" s="32">
        <v>5.1125387717758386E-4</v>
      </c>
      <c r="U40" s="32">
        <v>0</v>
      </c>
      <c r="V40" s="32">
        <v>0</v>
      </c>
      <c r="W40" s="32">
        <v>1.0225077543551677E-3</v>
      </c>
      <c r="X40" s="32">
        <v>0</v>
      </c>
      <c r="Y40" s="32">
        <v>0</v>
      </c>
      <c r="Z40" s="32">
        <v>0</v>
      </c>
      <c r="AA40" s="32">
        <v>5.1125387717758386E-4</v>
      </c>
      <c r="AB40" s="32">
        <v>5.1125387717758386E-4</v>
      </c>
      <c r="AC40" s="32">
        <v>0</v>
      </c>
    </row>
    <row r="41" spans="1:29" x14ac:dyDescent="0.25">
      <c r="A41" s="32">
        <v>39</v>
      </c>
      <c r="B41" s="32">
        <v>11.899261733971001</v>
      </c>
      <c r="C41" s="32">
        <v>9.8720800000000004</v>
      </c>
      <c r="D41" s="32">
        <v>399.17500000000001</v>
      </c>
      <c r="E41" s="32">
        <v>46.981999999999999</v>
      </c>
      <c r="F41" s="32">
        <v>180</v>
      </c>
      <c r="G41" s="32">
        <v>0</v>
      </c>
      <c r="H41" s="32">
        <v>975</v>
      </c>
      <c r="I41" s="34">
        <v>1.7309999999999999E-2</v>
      </c>
      <c r="J41" s="34">
        <v>1.682E-4</v>
      </c>
      <c r="K41" s="34">
        <v>1.4630000000000001E-5</v>
      </c>
      <c r="L41" s="32">
        <v>1966.3966838707456</v>
      </c>
      <c r="M41" s="32">
        <v>11.899261733971001</v>
      </c>
      <c r="N41" s="32">
        <v>0</v>
      </c>
      <c r="O41" s="32">
        <v>0</v>
      </c>
      <c r="P41" s="32">
        <v>0</v>
      </c>
      <c r="Q41" s="32">
        <v>0</v>
      </c>
      <c r="R41" s="32">
        <v>2.0341775557341851E-3</v>
      </c>
      <c r="S41" s="32">
        <v>1.3870548208162473E-2</v>
      </c>
      <c r="T41" s="32">
        <v>7.8951516381933051E-3</v>
      </c>
      <c r="U41" s="32">
        <v>0</v>
      </c>
      <c r="V41" s="32">
        <v>1.5256331668006386E-3</v>
      </c>
      <c r="W41" s="32">
        <v>3.2063723722260087E-2</v>
      </c>
      <c r="X41" s="32">
        <v>2.0557906922638605E-2</v>
      </c>
      <c r="Y41" s="32">
        <v>2.0341775557341851E-3</v>
      </c>
      <c r="Z41" s="32">
        <v>1.6781964834807025E-2</v>
      </c>
      <c r="AA41" s="32">
        <v>5.4414249615889441E-3</v>
      </c>
      <c r="AB41" s="32">
        <v>1.4239242890139295E-2</v>
      </c>
      <c r="AC41" s="32">
        <v>2.4333849010470188E-2</v>
      </c>
    </row>
    <row r="42" spans="1:29" x14ac:dyDescent="0.25">
      <c r="A42" s="32">
        <v>40</v>
      </c>
      <c r="B42" s="32">
        <v>11.94929831987</v>
      </c>
      <c r="C42" s="32">
        <v>18.292543999999999</v>
      </c>
      <c r="D42" s="32">
        <v>397.06299999999999</v>
      </c>
      <c r="E42" s="32">
        <v>47.055999999999997</v>
      </c>
      <c r="F42" s="32">
        <v>180</v>
      </c>
      <c r="G42" s="32">
        <v>0</v>
      </c>
      <c r="H42" s="32">
        <v>975</v>
      </c>
      <c r="I42" s="34">
        <v>1.7270000000000001E-2</v>
      </c>
      <c r="J42" s="34">
        <v>1.6860000000000001E-4</v>
      </c>
      <c r="K42" s="34">
        <v>1.455E-5</v>
      </c>
      <c r="L42" s="32">
        <v>1945.8913315255215</v>
      </c>
      <c r="M42" s="32">
        <v>11.94929831987</v>
      </c>
      <c r="N42" s="32">
        <v>0</v>
      </c>
      <c r="O42" s="32">
        <v>0</v>
      </c>
      <c r="P42" s="32">
        <v>0</v>
      </c>
      <c r="Q42" s="32">
        <v>1.0278066239351911E-3</v>
      </c>
      <c r="R42" s="32">
        <v>0</v>
      </c>
      <c r="S42" s="32">
        <v>1.3644132932739663E-2</v>
      </c>
      <c r="T42" s="32">
        <v>7.2203415331447175E-3</v>
      </c>
      <c r="U42" s="32">
        <v>0</v>
      </c>
      <c r="V42" s="32">
        <v>0</v>
      </c>
      <c r="W42" s="32">
        <v>2.8804280635783729E-2</v>
      </c>
      <c r="X42" s="32">
        <v>3.4431521901828903E-2</v>
      </c>
      <c r="Y42" s="32">
        <v>2.8650109642193453E-3</v>
      </c>
      <c r="Z42" s="32">
        <v>1.3451419190751815E-2</v>
      </c>
      <c r="AA42" s="32">
        <v>7.7085496795139333E-3</v>
      </c>
      <c r="AB42" s="32">
        <v>2.9433812192944036E-2</v>
      </c>
      <c r="AC42" s="32">
        <v>2.7159790037487426E-2</v>
      </c>
    </row>
    <row r="43" spans="1:29" x14ac:dyDescent="0.25">
      <c r="A43" s="32">
        <v>41</v>
      </c>
      <c r="B43" s="32">
        <v>12.000120845152001</v>
      </c>
      <c r="C43" s="32">
        <v>24.082515000000001</v>
      </c>
      <c r="D43" s="32">
        <v>395.04199999999997</v>
      </c>
      <c r="E43" s="32">
        <v>47.13</v>
      </c>
      <c r="F43" s="32">
        <v>180</v>
      </c>
      <c r="G43" s="32">
        <v>0</v>
      </c>
      <c r="H43" s="32">
        <v>975</v>
      </c>
      <c r="I43" s="34">
        <v>1.7180000000000001E-2</v>
      </c>
      <c r="J43" s="34">
        <v>1.6899999999999999E-4</v>
      </c>
      <c r="K43" s="34">
        <v>1.449E-5</v>
      </c>
      <c r="L43" s="32">
        <v>1925.8849363470276</v>
      </c>
      <c r="M43" s="32">
        <v>12.000120845152001</v>
      </c>
      <c r="N43" s="32">
        <v>0</v>
      </c>
      <c r="O43" s="32">
        <v>0</v>
      </c>
      <c r="P43" s="32">
        <v>0</v>
      </c>
      <c r="Q43" s="32">
        <v>5.1924182028069443E-4</v>
      </c>
      <c r="R43" s="32">
        <v>1.0384836405613889E-3</v>
      </c>
      <c r="S43" s="32">
        <v>2.2327398272069861E-2</v>
      </c>
      <c r="T43" s="32">
        <v>1.1942561866455972E-2</v>
      </c>
      <c r="U43" s="32">
        <v>5.1924182028069443E-4</v>
      </c>
      <c r="V43" s="32">
        <v>1.5447444153350661E-3</v>
      </c>
      <c r="W43" s="32">
        <v>3.0635267396560972E-2</v>
      </c>
      <c r="X43" s="32">
        <v>4.405766845081692E-2</v>
      </c>
      <c r="Y43" s="32">
        <v>2.0769672811227777E-3</v>
      </c>
      <c r="Z43" s="32">
        <v>1.5810913427547146E-2</v>
      </c>
      <c r="AA43" s="32">
        <v>1.3863756601494541E-2</v>
      </c>
      <c r="AB43" s="32">
        <v>3.6113268600522296E-2</v>
      </c>
      <c r="AC43" s="32">
        <v>2.410580150653124E-2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33" r:id="rId3" name="ScaleDefault">
          <controlPr defaultSize="0" print="0" autoLine="0" r:id="rId4">
            <anchor moveWithCells="1">
              <from>
                <xdr:col>14</xdr:col>
                <xdr:colOff>457200</xdr:colOff>
                <xdr:row>18</xdr:row>
                <xdr:rowOff>123825</xdr:rowOff>
              </from>
              <to>
                <xdr:col>15</xdr:col>
                <xdr:colOff>276225</xdr:colOff>
                <xdr:row>20</xdr:row>
                <xdr:rowOff>19050</xdr:rowOff>
              </to>
            </anchor>
          </controlPr>
        </control>
      </mc:Choice>
      <mc:Fallback>
        <control shapeId="184333" r:id="rId3" name="ScaleDefault"/>
      </mc:Fallback>
    </mc:AlternateContent>
    <mc:AlternateContent xmlns:mc="http://schemas.openxmlformats.org/markup-compatibility/2006">
      <mc:Choice Requires="x14">
        <control shapeId="184332" r:id="rId5" name="ScaleYes">
          <controlPr defaultSize="0" print="0" autoLine="0" r:id="rId6">
            <anchor moveWithCells="1">
              <from>
                <xdr:col>13</xdr:col>
                <xdr:colOff>552450</xdr:colOff>
                <xdr:row>18</xdr:row>
                <xdr:rowOff>123825</xdr:rowOff>
              </from>
              <to>
                <xdr:col>14</xdr:col>
                <xdr:colOff>381000</xdr:colOff>
                <xdr:row>20</xdr:row>
                <xdr:rowOff>19050</xdr:rowOff>
              </to>
            </anchor>
          </controlPr>
        </control>
      </mc:Choice>
      <mc:Fallback>
        <control shapeId="184332" r:id="rId5" name="ScaleYes"/>
      </mc:Fallback>
    </mc:AlternateContent>
    <mc:AlternateContent xmlns:mc="http://schemas.openxmlformats.org/markup-compatibility/2006">
      <mc:Choice Requires="x14">
        <control shapeId="184331" r:id="rId7" name="YScaleMax">
          <controlPr defaultSize="0" print="0" autoLine="0" r:id="rId8">
            <anchor moveWithCells="1">
              <from>
                <xdr:col>14</xdr:col>
                <xdr:colOff>247650</xdr:colOff>
                <xdr:row>17</xdr:row>
                <xdr:rowOff>9525</xdr:rowOff>
              </from>
              <to>
                <xdr:col>15</xdr:col>
                <xdr:colOff>276225</xdr:colOff>
                <xdr:row>18</xdr:row>
                <xdr:rowOff>47625</xdr:rowOff>
              </to>
            </anchor>
          </controlPr>
        </control>
      </mc:Choice>
      <mc:Fallback>
        <control shapeId="184331" r:id="rId7" name="YScaleMax"/>
      </mc:Fallback>
    </mc:AlternateContent>
    <mc:AlternateContent xmlns:mc="http://schemas.openxmlformats.org/markup-compatibility/2006">
      <mc:Choice Requires="x14">
        <control shapeId="184330" r:id="rId9" name="YScaleMin">
          <controlPr defaultSize="0" print="0" autoLine="0" r:id="rId10">
            <anchor moveWithCells="1">
              <from>
                <xdr:col>12</xdr:col>
                <xdr:colOff>533400</xdr:colOff>
                <xdr:row>17</xdr:row>
                <xdr:rowOff>9525</xdr:rowOff>
              </from>
              <to>
                <xdr:col>13</xdr:col>
                <xdr:colOff>552450</xdr:colOff>
                <xdr:row>18</xdr:row>
                <xdr:rowOff>47625</xdr:rowOff>
              </to>
            </anchor>
          </controlPr>
        </control>
      </mc:Choice>
      <mc:Fallback>
        <control shapeId="184330" r:id="rId9" name="YScaleMin"/>
      </mc:Fallback>
    </mc:AlternateContent>
    <mc:AlternateContent xmlns:mc="http://schemas.openxmlformats.org/markup-compatibility/2006">
      <mc:Choice Requires="x14">
        <control shapeId="184329" r:id="rId11" name="Label4">
          <controlPr defaultSize="0" print="0" autoLine="0" r:id="rId12">
            <anchor moveWithCells="1">
              <from>
                <xdr:col>13</xdr:col>
                <xdr:colOff>571500</xdr:colOff>
                <xdr:row>17</xdr:row>
                <xdr:rowOff>38100</xdr:rowOff>
              </from>
              <to>
                <xdr:col>14</xdr:col>
                <xdr:colOff>238125</xdr:colOff>
                <xdr:row>18</xdr:row>
                <xdr:rowOff>76200</xdr:rowOff>
              </to>
            </anchor>
          </controlPr>
        </control>
      </mc:Choice>
      <mc:Fallback>
        <control shapeId="184329" r:id="rId11" name="Label4"/>
      </mc:Fallback>
    </mc:AlternateContent>
    <mc:AlternateContent xmlns:mc="http://schemas.openxmlformats.org/markup-compatibility/2006">
      <mc:Choice Requires="x14">
        <control shapeId="184328" r:id="rId13" name="YScaleLogarithmic">
          <controlPr defaultSize="0" print="0" autoLine="0" r:id="rId14">
            <anchor moveWithCells="1">
              <from>
                <xdr:col>14</xdr:col>
                <xdr:colOff>161925</xdr:colOff>
                <xdr:row>15</xdr:row>
                <xdr:rowOff>161925</xdr:rowOff>
              </from>
              <to>
                <xdr:col>15</xdr:col>
                <xdr:colOff>342900</xdr:colOff>
                <xdr:row>17</xdr:row>
                <xdr:rowOff>9525</xdr:rowOff>
              </to>
            </anchor>
          </controlPr>
        </control>
      </mc:Choice>
      <mc:Fallback>
        <control shapeId="184328" r:id="rId13" name="YScaleLogarithmic"/>
      </mc:Fallback>
    </mc:AlternateContent>
    <mc:AlternateContent xmlns:mc="http://schemas.openxmlformats.org/markup-compatibility/2006">
      <mc:Choice Requires="x14">
        <control shapeId="184327" r:id="rId15" name="Label3">
          <controlPr defaultSize="0" print="0" autoLine="0" r:id="rId16">
            <anchor moveWithCells="1">
              <from>
                <xdr:col>13</xdr:col>
                <xdr:colOff>47625</xdr:colOff>
                <xdr:row>16</xdr:row>
                <xdr:rowOff>0</xdr:rowOff>
              </from>
              <to>
                <xdr:col>14</xdr:col>
                <xdr:colOff>76200</xdr:colOff>
                <xdr:row>17</xdr:row>
                <xdr:rowOff>38100</xdr:rowOff>
              </to>
            </anchor>
          </controlPr>
        </control>
      </mc:Choice>
      <mc:Fallback>
        <control shapeId="184327" r:id="rId15" name="Label3"/>
      </mc:Fallback>
    </mc:AlternateContent>
    <mc:AlternateContent xmlns:mc="http://schemas.openxmlformats.org/markup-compatibility/2006">
      <mc:Choice Requires="x14">
        <control shapeId="184326" r:id="rId17" name="XScaleMax">
          <controlPr defaultSize="0" print="0" autoLine="0" r:id="rId18">
            <anchor moveWithCells="1">
              <from>
                <xdr:col>14</xdr:col>
                <xdr:colOff>247650</xdr:colOff>
                <xdr:row>14</xdr:row>
                <xdr:rowOff>76200</xdr:rowOff>
              </from>
              <to>
                <xdr:col>15</xdr:col>
                <xdr:colOff>276225</xdr:colOff>
                <xdr:row>15</xdr:row>
                <xdr:rowOff>114300</xdr:rowOff>
              </to>
            </anchor>
          </controlPr>
        </control>
      </mc:Choice>
      <mc:Fallback>
        <control shapeId="184326" r:id="rId17" name="XScaleMax"/>
      </mc:Fallback>
    </mc:AlternateContent>
    <mc:AlternateContent xmlns:mc="http://schemas.openxmlformats.org/markup-compatibility/2006">
      <mc:Choice Requires="x14">
        <control shapeId="184325" r:id="rId19" name="XScaleMin">
          <controlPr defaultSize="0" print="0" autoLine="0" r:id="rId20">
            <anchor moveWithCells="1">
              <from>
                <xdr:col>12</xdr:col>
                <xdr:colOff>533400</xdr:colOff>
                <xdr:row>14</xdr:row>
                <xdr:rowOff>76200</xdr:rowOff>
              </from>
              <to>
                <xdr:col>13</xdr:col>
                <xdr:colOff>552450</xdr:colOff>
                <xdr:row>15</xdr:row>
                <xdr:rowOff>114300</xdr:rowOff>
              </to>
            </anchor>
          </controlPr>
        </control>
      </mc:Choice>
      <mc:Fallback>
        <control shapeId="184325" r:id="rId19" name="XScaleMin"/>
      </mc:Fallback>
    </mc:AlternateContent>
    <mc:AlternateContent xmlns:mc="http://schemas.openxmlformats.org/markup-compatibility/2006">
      <mc:Choice Requires="x14">
        <control shapeId="184324" r:id="rId21" name="Label2">
          <controlPr defaultSize="0" print="0" autoLine="0" r:id="rId22">
            <anchor moveWithCells="1">
              <from>
                <xdr:col>13</xdr:col>
                <xdr:colOff>571500</xdr:colOff>
                <xdr:row>14</xdr:row>
                <xdr:rowOff>95250</xdr:rowOff>
              </from>
              <to>
                <xdr:col>14</xdr:col>
                <xdr:colOff>238125</xdr:colOff>
                <xdr:row>15</xdr:row>
                <xdr:rowOff>133350</xdr:rowOff>
              </to>
            </anchor>
          </controlPr>
        </control>
      </mc:Choice>
      <mc:Fallback>
        <control shapeId="184324" r:id="rId21" name="Label2"/>
      </mc:Fallback>
    </mc:AlternateContent>
    <mc:AlternateContent xmlns:mc="http://schemas.openxmlformats.org/markup-compatibility/2006">
      <mc:Choice Requires="x14">
        <control shapeId="184323" r:id="rId23" name="Label1">
          <controlPr defaultSize="0" print="0" autoLine="0" r:id="rId24">
            <anchor moveWithCells="1">
              <from>
                <xdr:col>13</xdr:col>
                <xdr:colOff>390525</xdr:colOff>
                <xdr:row>13</xdr:row>
                <xdr:rowOff>57150</xdr:rowOff>
              </from>
              <to>
                <xdr:col>14</xdr:col>
                <xdr:colOff>419100</xdr:colOff>
                <xdr:row>14</xdr:row>
                <xdr:rowOff>95250</xdr:rowOff>
              </to>
            </anchor>
          </controlPr>
        </control>
      </mc:Choice>
      <mc:Fallback>
        <control shapeId="184323" r:id="rId23" name="Label1"/>
      </mc:Fallback>
    </mc:AlternateContent>
    <mc:AlternateContent xmlns:mc="http://schemas.openxmlformats.org/markup-compatibility/2006">
      <mc:Choice Requires="x14">
        <control shapeId="184322" r:id="rId25" name="FmlListBox">
          <controlPr defaultSize="0" print="0" autoLine="0" r:id="rId26">
            <anchor moveWithCells="1">
              <from>
                <xdr:col>12</xdr:col>
                <xdr:colOff>428625</xdr:colOff>
                <xdr:row>4</xdr:row>
                <xdr:rowOff>76200</xdr:rowOff>
              </from>
              <to>
                <xdr:col>15</xdr:col>
                <xdr:colOff>381000</xdr:colOff>
                <xdr:row>13</xdr:row>
                <xdr:rowOff>19050</xdr:rowOff>
              </to>
            </anchor>
          </controlPr>
        </control>
      </mc:Choice>
      <mc:Fallback>
        <control shapeId="184322" r:id="rId25" name="FmlListBox"/>
      </mc:Fallback>
    </mc:AlternateContent>
    <mc:AlternateContent xmlns:mc="http://schemas.openxmlformats.org/markup-compatibility/2006">
      <mc:Choice Requires="x14">
        <control shapeId="184321" r:id="rId27" name="RngCopy">
          <controlPr defaultSize="0" print="0" autoLine="0" r:id="rId28">
            <anchor moveWithCells="1">
              <from>
                <xdr:col>0</xdr:col>
                <xdr:colOff>581025</xdr:colOff>
                <xdr:row>2</xdr:row>
                <xdr:rowOff>152400</xdr:rowOff>
              </from>
              <to>
                <xdr:col>3</xdr:col>
                <xdr:colOff>19050</xdr:colOff>
                <xdr:row>4</xdr:row>
                <xdr:rowOff>47625</xdr:rowOff>
              </to>
            </anchor>
          </controlPr>
        </control>
      </mc:Choice>
      <mc:Fallback>
        <control shapeId="184321" r:id="rId27" name="RngCop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C43"/>
  <sheetViews>
    <sheetView workbookViewId="0">
      <selection activeCell="J39" sqref="J39"/>
    </sheetView>
  </sheetViews>
  <sheetFormatPr defaultRowHeight="15" x14ac:dyDescent="0.25"/>
  <cols>
    <col min="1" max="16384" width="9.140625" style="32"/>
  </cols>
  <sheetData>
    <row r="1" spans="1:29" x14ac:dyDescent="0.25">
      <c r="A1" s="32" t="s">
        <v>64</v>
      </c>
      <c r="B1" s="32" t="s">
        <v>29</v>
      </c>
      <c r="M1" s="32" t="s">
        <v>30</v>
      </c>
      <c r="N1" s="32" t="s">
        <v>42</v>
      </c>
      <c r="O1" s="32" t="s">
        <v>45</v>
      </c>
      <c r="P1" s="32" t="s">
        <v>27</v>
      </c>
      <c r="Q1" s="32" t="s">
        <v>44</v>
      </c>
      <c r="V1" s="32" t="s">
        <v>28</v>
      </c>
    </row>
    <row r="2" spans="1:29" x14ac:dyDescent="0.25">
      <c r="A2" s="32" t="s">
        <v>31</v>
      </c>
      <c r="B2" s="32" t="s">
        <v>32</v>
      </c>
      <c r="C2" s="32" t="s">
        <v>33</v>
      </c>
      <c r="D2" s="32" t="s">
        <v>34</v>
      </c>
      <c r="E2" s="32" t="s">
        <v>35</v>
      </c>
      <c r="F2" s="32" t="s">
        <v>36</v>
      </c>
      <c r="G2" s="32" t="s">
        <v>37</v>
      </c>
      <c r="H2" s="32" t="s">
        <v>22</v>
      </c>
      <c r="I2" s="32" t="s">
        <v>38</v>
      </c>
      <c r="J2" s="32" t="s">
        <v>39</v>
      </c>
      <c r="K2" s="32" t="s">
        <v>40</v>
      </c>
      <c r="L2" s="32" t="s">
        <v>41</v>
      </c>
      <c r="M2" s="32" t="s">
        <v>32</v>
      </c>
      <c r="N2" s="32">
        <v>18.001999999999999</v>
      </c>
      <c r="O2" s="32">
        <v>27.988</v>
      </c>
      <c r="P2" s="32">
        <v>31.98</v>
      </c>
      <c r="Q2" s="32">
        <v>43.985999999999997</v>
      </c>
      <c r="R2" s="32">
        <v>44.98</v>
      </c>
      <c r="S2" s="32">
        <v>49.987000000000002</v>
      </c>
      <c r="T2" s="32">
        <v>69.076999999999998</v>
      </c>
      <c r="U2" s="32">
        <v>77.986000000000004</v>
      </c>
      <c r="V2" s="32">
        <v>83.88</v>
      </c>
      <c r="W2" s="32">
        <v>99.974000000000004</v>
      </c>
      <c r="X2" s="32">
        <v>112.093</v>
      </c>
      <c r="Y2" s="32">
        <v>118.967</v>
      </c>
      <c r="Z2" s="32">
        <v>130.96100000000001</v>
      </c>
      <c r="AA2" s="32">
        <v>148.97999999999999</v>
      </c>
      <c r="AB2" s="32">
        <v>167.01599999999999</v>
      </c>
      <c r="AC2" s="32">
        <v>249.917</v>
      </c>
    </row>
    <row r="3" spans="1:29" x14ac:dyDescent="0.25">
      <c r="A3" s="32">
        <v>1</v>
      </c>
      <c r="B3" s="32">
        <v>9.9994825149099995</v>
      </c>
      <c r="C3" s="32">
        <v>18.087194</v>
      </c>
      <c r="D3" s="32">
        <v>399.34800000000001</v>
      </c>
      <c r="E3" s="32">
        <v>44.011000000000003</v>
      </c>
      <c r="F3" s="32">
        <v>180</v>
      </c>
      <c r="G3" s="32">
        <v>0</v>
      </c>
      <c r="H3" s="32">
        <v>975</v>
      </c>
      <c r="I3" s="34">
        <v>1.7270000000000001E-2</v>
      </c>
      <c r="J3" s="34">
        <v>1.706E-4</v>
      </c>
      <c r="K3" s="34">
        <v>1.453E-5</v>
      </c>
      <c r="L3" s="32">
        <v>2414.426702209902</v>
      </c>
      <c r="M3" s="32">
        <v>9.9994825149099995</v>
      </c>
      <c r="N3" s="32">
        <v>0</v>
      </c>
      <c r="O3" s="32">
        <v>0</v>
      </c>
      <c r="P3" s="32">
        <v>0</v>
      </c>
      <c r="Q3" s="32">
        <v>0</v>
      </c>
      <c r="R3" s="32">
        <v>4.1417699658668843E-4</v>
      </c>
      <c r="S3" s="32">
        <v>0</v>
      </c>
      <c r="T3" s="32">
        <v>8.2835399317337686E-4</v>
      </c>
      <c r="U3" s="32">
        <v>0</v>
      </c>
      <c r="V3" s="32">
        <v>0</v>
      </c>
      <c r="W3" s="32">
        <v>8.2835399317337686E-4</v>
      </c>
      <c r="X3" s="32">
        <v>8.2835399317337686E-4</v>
      </c>
      <c r="Y3" s="32">
        <v>0</v>
      </c>
      <c r="Z3" s="32">
        <v>3.0027832252534911E-4</v>
      </c>
      <c r="AA3" s="32">
        <v>0</v>
      </c>
      <c r="AB3" s="32">
        <v>0</v>
      </c>
      <c r="AC3" s="32">
        <v>0</v>
      </c>
    </row>
    <row r="4" spans="1:29" x14ac:dyDescent="0.25">
      <c r="A4" s="32">
        <v>2</v>
      </c>
      <c r="B4" s="32">
        <v>10.050042608564</v>
      </c>
      <c r="C4" s="32">
        <v>18.371638999999998</v>
      </c>
      <c r="D4" s="32">
        <v>397.33300000000003</v>
      </c>
      <c r="E4" s="32">
        <v>44.094000000000001</v>
      </c>
      <c r="F4" s="32">
        <v>180</v>
      </c>
      <c r="G4" s="32">
        <v>0</v>
      </c>
      <c r="H4" s="32">
        <v>975</v>
      </c>
      <c r="I4" s="34">
        <v>1.7270000000000001E-2</v>
      </c>
      <c r="J4" s="34">
        <v>1.7019999999999999E-4</v>
      </c>
      <c r="K4" s="34">
        <v>1.451E-5</v>
      </c>
      <c r="L4" s="32">
        <v>2401.4504832228972</v>
      </c>
      <c r="M4" s="32">
        <v>10.050042608564</v>
      </c>
      <c r="N4" s="32">
        <v>0</v>
      </c>
      <c r="O4" s="32">
        <v>0</v>
      </c>
      <c r="P4" s="32">
        <v>0</v>
      </c>
      <c r="Q4" s="32">
        <v>0</v>
      </c>
      <c r="R4" s="32">
        <v>0</v>
      </c>
      <c r="S4" s="32">
        <v>0</v>
      </c>
      <c r="T4" s="32">
        <v>8.3282999752544321E-4</v>
      </c>
      <c r="U4" s="32">
        <v>0</v>
      </c>
      <c r="V4" s="32">
        <v>0</v>
      </c>
      <c r="W4" s="32">
        <v>8.3282999752544321E-4</v>
      </c>
      <c r="X4" s="32">
        <v>8.3282999752544321E-4</v>
      </c>
      <c r="Y4" s="32">
        <v>0</v>
      </c>
      <c r="Z4" s="32">
        <v>8.3282999752544321E-4</v>
      </c>
      <c r="AA4" s="32">
        <v>0</v>
      </c>
      <c r="AB4" s="32">
        <v>0</v>
      </c>
      <c r="AC4" s="32">
        <v>0</v>
      </c>
    </row>
    <row r="5" spans="1:29" x14ac:dyDescent="0.25">
      <c r="A5" s="32">
        <v>3</v>
      </c>
      <c r="B5" s="32">
        <v>10.09955227006</v>
      </c>
      <c r="C5" s="32">
        <v>18.400956999999998</v>
      </c>
      <c r="D5" s="32">
        <v>395.339</v>
      </c>
      <c r="E5" s="32">
        <v>44.177999999999997</v>
      </c>
      <c r="F5" s="32">
        <v>180</v>
      </c>
      <c r="G5" s="32">
        <v>0</v>
      </c>
      <c r="H5" s="32">
        <v>975</v>
      </c>
      <c r="I5" s="34">
        <v>1.7409999999999998E-2</v>
      </c>
      <c r="J5" s="34">
        <v>1.7139999999999999E-4</v>
      </c>
      <c r="K5" s="34">
        <v>1.4440000000000001E-5</v>
      </c>
      <c r="L5" s="32">
        <v>2388.6261070961741</v>
      </c>
      <c r="M5" s="32">
        <v>10.09955227006</v>
      </c>
      <c r="N5" s="32">
        <v>0</v>
      </c>
      <c r="O5" s="32">
        <v>0</v>
      </c>
      <c r="P5" s="32">
        <v>0</v>
      </c>
      <c r="Q5" s="32">
        <v>0</v>
      </c>
      <c r="R5" s="32">
        <v>0</v>
      </c>
      <c r="S5" s="32">
        <v>4.1865070344378376E-4</v>
      </c>
      <c r="T5" s="32">
        <v>4.1865070344378376E-4</v>
      </c>
      <c r="U5" s="32">
        <v>0</v>
      </c>
      <c r="V5" s="32">
        <v>0</v>
      </c>
      <c r="W5" s="32">
        <v>2.0932535172189185E-3</v>
      </c>
      <c r="X5" s="32">
        <v>3.7678563309940538E-3</v>
      </c>
      <c r="Y5" s="32">
        <v>4.1865070344378376E-4</v>
      </c>
      <c r="Z5" s="32">
        <v>4.1865070344378376E-4</v>
      </c>
      <c r="AA5" s="32">
        <v>0</v>
      </c>
      <c r="AB5" s="32">
        <v>0</v>
      </c>
      <c r="AC5" s="32">
        <v>8.3730140688756751E-4</v>
      </c>
    </row>
    <row r="6" spans="1:29" x14ac:dyDescent="0.25">
      <c r="A6" s="32">
        <v>4</v>
      </c>
      <c r="B6" s="32">
        <v>10.149932065787</v>
      </c>
      <c r="C6" s="32">
        <v>18.615666000000001</v>
      </c>
      <c r="D6" s="32">
        <v>398.93200000000002</v>
      </c>
      <c r="E6" s="32">
        <v>44.259</v>
      </c>
      <c r="F6" s="32">
        <v>180</v>
      </c>
      <c r="G6" s="32">
        <v>0</v>
      </c>
      <c r="H6" s="32">
        <v>975</v>
      </c>
      <c r="I6" s="34">
        <v>1.7350000000000001E-2</v>
      </c>
      <c r="J6" s="34">
        <v>1.708E-4</v>
      </c>
      <c r="K6" s="34">
        <v>1.448E-5</v>
      </c>
      <c r="L6" s="32">
        <v>2405.363231379004</v>
      </c>
      <c r="M6" s="32">
        <v>10.149932065787</v>
      </c>
      <c r="N6" s="32">
        <v>0</v>
      </c>
      <c r="O6" s="32">
        <v>4.1573762621568641E-4</v>
      </c>
      <c r="P6" s="32">
        <v>0</v>
      </c>
      <c r="Q6" s="32">
        <v>0</v>
      </c>
      <c r="R6" s="32">
        <v>0</v>
      </c>
      <c r="S6" s="32">
        <v>0</v>
      </c>
      <c r="T6" s="32">
        <v>0</v>
      </c>
      <c r="U6" s="32">
        <v>0</v>
      </c>
      <c r="V6" s="32">
        <v>4.1573762621568641E-4</v>
      </c>
      <c r="W6" s="32">
        <v>1.2472128786470593E-3</v>
      </c>
      <c r="X6" s="32">
        <v>8.3147525243137282E-4</v>
      </c>
      <c r="Y6" s="32">
        <v>4.1573762621568641E-4</v>
      </c>
      <c r="Z6" s="32">
        <v>1.6629505048627456E-3</v>
      </c>
      <c r="AA6" s="32">
        <v>0</v>
      </c>
      <c r="AB6" s="32">
        <v>0</v>
      </c>
      <c r="AC6" s="32">
        <v>0</v>
      </c>
    </row>
    <row r="7" spans="1:29" x14ac:dyDescent="0.25">
      <c r="A7" s="32">
        <v>5</v>
      </c>
      <c r="B7" s="32">
        <v>10.199564911828</v>
      </c>
      <c r="C7" s="32">
        <v>18.737244</v>
      </c>
      <c r="D7" s="32">
        <v>396.90800000000002</v>
      </c>
      <c r="E7" s="32">
        <v>44.343000000000004</v>
      </c>
      <c r="F7" s="32">
        <v>180</v>
      </c>
      <c r="G7" s="32">
        <v>0</v>
      </c>
      <c r="H7" s="32">
        <v>975</v>
      </c>
      <c r="I7" s="34">
        <v>1.7250000000000001E-2</v>
      </c>
      <c r="J7" s="34">
        <v>1.708E-4</v>
      </c>
      <c r="K7" s="34">
        <v>1.449E-5</v>
      </c>
      <c r="L7" s="32">
        <v>2382.9199664954385</v>
      </c>
      <c r="M7" s="32">
        <v>10.199564911828</v>
      </c>
      <c r="N7" s="32">
        <v>0</v>
      </c>
      <c r="O7" s="32">
        <v>4.1965320449712814E-4</v>
      </c>
      <c r="P7" s="32">
        <v>0</v>
      </c>
      <c r="Q7" s="32">
        <v>0</v>
      </c>
      <c r="R7" s="32">
        <v>0</v>
      </c>
      <c r="S7" s="32">
        <v>0</v>
      </c>
      <c r="T7" s="32">
        <v>0</v>
      </c>
      <c r="U7" s="32">
        <v>0</v>
      </c>
      <c r="V7" s="32">
        <v>0</v>
      </c>
      <c r="W7" s="32">
        <v>1.2589596134913845E-3</v>
      </c>
      <c r="X7" s="32">
        <v>4.1965320449712813E-3</v>
      </c>
      <c r="Y7" s="32">
        <v>0</v>
      </c>
      <c r="Z7" s="32">
        <v>0</v>
      </c>
      <c r="AA7" s="32">
        <v>0</v>
      </c>
      <c r="AB7" s="32">
        <v>0</v>
      </c>
      <c r="AC7" s="32">
        <v>0</v>
      </c>
    </row>
    <row r="8" spans="1:29" x14ac:dyDescent="0.25">
      <c r="A8" s="32">
        <v>6</v>
      </c>
      <c r="B8" s="32">
        <v>10.249746724015001</v>
      </c>
      <c r="C8" s="32">
        <v>18.830943000000001</v>
      </c>
      <c r="D8" s="32">
        <v>398.01499999999999</v>
      </c>
      <c r="E8" s="32">
        <v>44.423999999999999</v>
      </c>
      <c r="F8" s="32">
        <v>180</v>
      </c>
      <c r="G8" s="32">
        <v>0</v>
      </c>
      <c r="H8" s="32">
        <v>975</v>
      </c>
      <c r="I8" s="34">
        <v>1.7229999999999999E-2</v>
      </c>
      <c r="J8" s="34">
        <v>1.7019999999999999E-4</v>
      </c>
      <c r="K8" s="34">
        <v>1.446E-5</v>
      </c>
      <c r="L8" s="32">
        <v>2379.2733454999175</v>
      </c>
      <c r="M8" s="32">
        <v>10.249746724015001</v>
      </c>
      <c r="N8" s="32">
        <v>0</v>
      </c>
      <c r="O8" s="32">
        <v>0</v>
      </c>
      <c r="P8" s="32">
        <v>0</v>
      </c>
      <c r="Q8" s="32">
        <v>0</v>
      </c>
      <c r="R8" s="32">
        <v>0</v>
      </c>
      <c r="S8" s="32">
        <v>0</v>
      </c>
      <c r="T8" s="32">
        <v>8.4059278173427901E-4</v>
      </c>
      <c r="U8" s="32">
        <v>0</v>
      </c>
      <c r="V8" s="32">
        <v>0</v>
      </c>
      <c r="W8" s="32">
        <v>2.9420747360699765E-3</v>
      </c>
      <c r="X8" s="32">
        <v>1.2608891726014185E-3</v>
      </c>
      <c r="Y8" s="32">
        <v>4.2029639086713951E-4</v>
      </c>
      <c r="Z8" s="32">
        <v>1.2608891726014185E-3</v>
      </c>
      <c r="AA8" s="32">
        <v>0</v>
      </c>
      <c r="AB8" s="32">
        <v>0</v>
      </c>
      <c r="AC8" s="32">
        <v>0</v>
      </c>
    </row>
    <row r="9" spans="1:29" x14ac:dyDescent="0.25">
      <c r="A9" s="32">
        <v>7</v>
      </c>
      <c r="B9" s="32">
        <v>10.299786396188001</v>
      </c>
      <c r="C9" s="32">
        <v>19.201589999999999</v>
      </c>
      <c r="D9" s="32">
        <v>398.82400000000001</v>
      </c>
      <c r="E9" s="32">
        <v>44.506</v>
      </c>
      <c r="F9" s="32">
        <v>180</v>
      </c>
      <c r="G9" s="32">
        <v>0</v>
      </c>
      <c r="H9" s="32">
        <v>975</v>
      </c>
      <c r="I9" s="34">
        <v>1.7229999999999999E-2</v>
      </c>
      <c r="J9" s="34">
        <v>1.7119999999999999E-4</v>
      </c>
      <c r="K9" s="34">
        <v>1.465E-5</v>
      </c>
      <c r="L9" s="32">
        <v>2373.9130847495462</v>
      </c>
      <c r="M9" s="32">
        <v>10.299786396188001</v>
      </c>
      <c r="N9" s="32">
        <v>0</v>
      </c>
      <c r="O9" s="32">
        <v>0</v>
      </c>
      <c r="P9" s="32">
        <v>0</v>
      </c>
      <c r="Q9" s="32">
        <v>0</v>
      </c>
      <c r="R9" s="32">
        <v>4.2124541392192652E-4</v>
      </c>
      <c r="S9" s="32">
        <v>0</v>
      </c>
      <c r="T9" s="32">
        <v>8.4249082784385303E-4</v>
      </c>
      <c r="U9" s="32">
        <v>0</v>
      </c>
      <c r="V9" s="32">
        <v>0</v>
      </c>
      <c r="W9" s="32">
        <v>4.6547618238372886E-3</v>
      </c>
      <c r="X9" s="32">
        <v>2.5274724835315592E-3</v>
      </c>
      <c r="Y9" s="32">
        <v>2.4221611300510773E-4</v>
      </c>
      <c r="Z9" s="32">
        <v>2.5274724835315592E-3</v>
      </c>
      <c r="AA9" s="32">
        <v>4.2124541392192652E-4</v>
      </c>
      <c r="AB9" s="32">
        <v>0</v>
      </c>
      <c r="AC9" s="32">
        <v>0</v>
      </c>
    </row>
    <row r="10" spans="1:29" x14ac:dyDescent="0.25">
      <c r="A10" s="32">
        <v>8</v>
      </c>
      <c r="B10" s="32">
        <v>10.349651696549</v>
      </c>
      <c r="C10" s="32">
        <v>19.429096000000001</v>
      </c>
      <c r="D10" s="32">
        <v>396.83</v>
      </c>
      <c r="E10" s="32">
        <v>44.587000000000003</v>
      </c>
      <c r="F10" s="32">
        <v>180</v>
      </c>
      <c r="G10" s="32">
        <v>0</v>
      </c>
      <c r="H10" s="32">
        <v>975</v>
      </c>
      <c r="I10" s="34">
        <v>1.729E-2</v>
      </c>
      <c r="J10" s="34">
        <v>1.7100000000000001E-4</v>
      </c>
      <c r="K10" s="34">
        <v>1.4620000000000001E-5</v>
      </c>
      <c r="L10" s="32">
        <v>2352.0201851297606</v>
      </c>
      <c r="M10" s="32">
        <v>10.349651696549</v>
      </c>
      <c r="N10" s="32">
        <v>0</v>
      </c>
      <c r="O10" s="32">
        <v>0</v>
      </c>
      <c r="P10" s="32">
        <v>0</v>
      </c>
      <c r="Q10" s="32">
        <v>0</v>
      </c>
      <c r="R10" s="32">
        <v>0</v>
      </c>
      <c r="S10" s="32">
        <v>0</v>
      </c>
      <c r="T10" s="32">
        <v>3.4013313536076823E-3</v>
      </c>
      <c r="U10" s="32">
        <v>0</v>
      </c>
      <c r="V10" s="32">
        <v>4.2516641920096028E-4</v>
      </c>
      <c r="W10" s="32">
        <v>1.2329826156827848E-2</v>
      </c>
      <c r="X10" s="32">
        <v>3.4013313536076823E-3</v>
      </c>
      <c r="Y10" s="32">
        <v>2.4447069104055214E-4</v>
      </c>
      <c r="Z10" s="32">
        <v>4.2516641920096028E-4</v>
      </c>
      <c r="AA10" s="32">
        <v>0</v>
      </c>
      <c r="AB10" s="32">
        <v>4.2516641920096028E-4</v>
      </c>
      <c r="AC10" s="32">
        <v>0</v>
      </c>
    </row>
    <row r="11" spans="1:29" x14ac:dyDescent="0.25">
      <c r="A11" s="32">
        <v>9</v>
      </c>
      <c r="B11" s="32">
        <v>10.399834231831999</v>
      </c>
      <c r="C11" s="32">
        <v>19.648104</v>
      </c>
      <c r="D11" s="32">
        <v>400.505</v>
      </c>
      <c r="E11" s="32">
        <v>44.667999999999999</v>
      </c>
      <c r="F11" s="32">
        <v>180</v>
      </c>
      <c r="G11" s="32">
        <v>0</v>
      </c>
      <c r="H11" s="32">
        <v>975</v>
      </c>
      <c r="I11" s="34">
        <v>1.72E-2</v>
      </c>
      <c r="J11" s="34">
        <v>1.696E-4</v>
      </c>
      <c r="K11" s="34">
        <v>1.449E-5</v>
      </c>
      <c r="L11" s="32">
        <v>2363.7070699187993</v>
      </c>
      <c r="M11" s="32">
        <v>10.399834231831999</v>
      </c>
      <c r="N11" s="32">
        <v>0</v>
      </c>
      <c r="O11" s="32">
        <v>0</v>
      </c>
      <c r="P11" s="32">
        <v>0</v>
      </c>
      <c r="Q11" s="32">
        <v>0</v>
      </c>
      <c r="R11" s="32">
        <v>8.4612853489866077E-4</v>
      </c>
      <c r="S11" s="32">
        <v>0</v>
      </c>
      <c r="T11" s="32">
        <v>6.4517300786022882E-4</v>
      </c>
      <c r="U11" s="32">
        <v>0</v>
      </c>
      <c r="V11" s="32">
        <v>0</v>
      </c>
      <c r="W11" s="32">
        <v>1.2268863756030582E-2</v>
      </c>
      <c r="X11" s="32">
        <v>4.6537069419426346E-3</v>
      </c>
      <c r="Y11" s="32">
        <v>0</v>
      </c>
      <c r="Z11" s="32">
        <v>1.1528501287994253E-3</v>
      </c>
      <c r="AA11" s="32">
        <v>0</v>
      </c>
      <c r="AB11" s="32">
        <v>8.4612853489866077E-4</v>
      </c>
      <c r="AC11" s="32">
        <v>4.2306426744933038E-4</v>
      </c>
    </row>
    <row r="12" spans="1:29" x14ac:dyDescent="0.25">
      <c r="A12" s="32">
        <v>10</v>
      </c>
      <c r="B12" s="32">
        <v>10.449488358305</v>
      </c>
      <c r="C12" s="32">
        <v>20.231891999999998</v>
      </c>
      <c r="D12" s="32">
        <v>399.048</v>
      </c>
      <c r="E12" s="32">
        <v>44.749000000000002</v>
      </c>
      <c r="F12" s="32">
        <v>180</v>
      </c>
      <c r="G12" s="32">
        <v>0</v>
      </c>
      <c r="H12" s="32">
        <v>975</v>
      </c>
      <c r="I12" s="34">
        <v>1.7250000000000001E-2</v>
      </c>
      <c r="J12" s="34">
        <v>1.7139999999999999E-4</v>
      </c>
      <c r="K12" s="34">
        <v>1.4620000000000001E-5</v>
      </c>
      <c r="L12" s="32">
        <v>2345.2396846271176</v>
      </c>
      <c r="M12" s="32">
        <v>10.449488358305</v>
      </c>
      <c r="N12" s="32">
        <v>0</v>
      </c>
      <c r="O12" s="32">
        <v>0</v>
      </c>
      <c r="P12" s="32">
        <v>0</v>
      </c>
      <c r="Q12" s="32">
        <v>0</v>
      </c>
      <c r="R12" s="32">
        <v>4.2639565011411422E-4</v>
      </c>
      <c r="S12" s="32">
        <v>0</v>
      </c>
      <c r="T12" s="32">
        <v>1.7055826004564569E-3</v>
      </c>
      <c r="U12" s="32">
        <v>0</v>
      </c>
      <c r="V12" s="32">
        <v>0</v>
      </c>
      <c r="W12" s="32">
        <v>1.5350243404108111E-2</v>
      </c>
      <c r="X12" s="32">
        <v>5.9055797540804814E-3</v>
      </c>
      <c r="Y12" s="32">
        <v>2.4517749881561567E-4</v>
      </c>
      <c r="Z12" s="32">
        <v>2.9847695507987993E-3</v>
      </c>
      <c r="AA12" s="32">
        <v>4.2639565011411422E-4</v>
      </c>
      <c r="AB12" s="32">
        <v>0</v>
      </c>
      <c r="AC12" s="32">
        <v>4.2639565011411422E-4</v>
      </c>
    </row>
    <row r="13" spans="1:29" x14ac:dyDescent="0.25">
      <c r="A13" s="32">
        <v>11</v>
      </c>
      <c r="B13" s="32">
        <v>10.499511918607</v>
      </c>
      <c r="C13" s="32">
        <v>20.514109000000001</v>
      </c>
      <c r="D13" s="32">
        <v>397</v>
      </c>
      <c r="E13" s="32">
        <v>44.829000000000001</v>
      </c>
      <c r="F13" s="32">
        <v>180</v>
      </c>
      <c r="G13" s="32">
        <v>0</v>
      </c>
      <c r="H13" s="32">
        <v>975</v>
      </c>
      <c r="I13" s="34">
        <v>1.7229999999999999E-2</v>
      </c>
      <c r="J13" s="34">
        <v>1.7100000000000001E-4</v>
      </c>
      <c r="K13" s="34">
        <v>1.449E-5</v>
      </c>
      <c r="L13" s="32">
        <v>2323.3954221506324</v>
      </c>
      <c r="M13" s="32">
        <v>10.499511918607</v>
      </c>
      <c r="N13" s="32">
        <v>4.3040456672431505E-4</v>
      </c>
      <c r="O13" s="32">
        <v>0</v>
      </c>
      <c r="P13" s="32">
        <v>0</v>
      </c>
      <c r="Q13" s="32">
        <v>0</v>
      </c>
      <c r="R13" s="32">
        <v>0</v>
      </c>
      <c r="S13" s="32">
        <v>0</v>
      </c>
      <c r="T13" s="32">
        <v>4.3040456672431508E-3</v>
      </c>
      <c r="U13" s="32">
        <v>0</v>
      </c>
      <c r="V13" s="32">
        <v>0</v>
      </c>
      <c r="W13" s="32">
        <v>1.2481732435005137E-2</v>
      </c>
      <c r="X13" s="32">
        <v>6.0256639341404105E-3</v>
      </c>
      <c r="Y13" s="32">
        <v>0</v>
      </c>
      <c r="Z13" s="32">
        <v>4.3040456672431505E-4</v>
      </c>
      <c r="AA13" s="32">
        <v>0</v>
      </c>
      <c r="AB13" s="32">
        <v>4.3040456672431505E-4</v>
      </c>
      <c r="AC13" s="32">
        <v>6.1332650758214892E-4</v>
      </c>
    </row>
    <row r="14" spans="1:29" x14ac:dyDescent="0.25">
      <c r="A14" s="32">
        <v>12</v>
      </c>
      <c r="B14" s="32">
        <v>10.549865500411</v>
      </c>
      <c r="C14" s="32">
        <v>20.847958999999999</v>
      </c>
      <c r="D14" s="32">
        <v>394.88900000000001</v>
      </c>
      <c r="E14" s="32">
        <v>44.91</v>
      </c>
      <c r="F14" s="32">
        <v>180</v>
      </c>
      <c r="G14" s="32">
        <v>0</v>
      </c>
      <c r="H14" s="32">
        <v>975</v>
      </c>
      <c r="I14" s="34">
        <v>1.7180000000000001E-2</v>
      </c>
      <c r="J14" s="34">
        <v>1.708E-4</v>
      </c>
      <c r="K14" s="34">
        <v>1.4620000000000001E-5</v>
      </c>
      <c r="L14" s="32">
        <v>2298.7662547326895</v>
      </c>
      <c r="M14" s="32">
        <v>10.549865500411</v>
      </c>
      <c r="N14" s="32">
        <v>0</v>
      </c>
      <c r="O14" s="32">
        <v>0</v>
      </c>
      <c r="P14" s="32">
        <v>0</v>
      </c>
      <c r="Q14" s="32">
        <v>0</v>
      </c>
      <c r="R14" s="32">
        <v>0</v>
      </c>
      <c r="S14" s="32">
        <v>0</v>
      </c>
      <c r="T14" s="32">
        <v>3.0451116922342288E-3</v>
      </c>
      <c r="U14" s="32">
        <v>0</v>
      </c>
      <c r="V14" s="32">
        <v>0</v>
      </c>
      <c r="W14" s="32">
        <v>1.783565419737191E-2</v>
      </c>
      <c r="X14" s="32">
        <v>6.0902233844684576E-3</v>
      </c>
      <c r="Y14" s="32">
        <v>8.7003191206692248E-4</v>
      </c>
      <c r="Z14" s="32">
        <v>2.6100957362007672E-3</v>
      </c>
      <c r="AA14" s="32">
        <v>4.3501595603346124E-4</v>
      </c>
      <c r="AB14" s="32">
        <v>4.3501595603346124E-4</v>
      </c>
      <c r="AC14" s="32">
        <v>8.7003191206692248E-4</v>
      </c>
    </row>
    <row r="15" spans="1:29" x14ac:dyDescent="0.25">
      <c r="A15" s="32">
        <v>13</v>
      </c>
      <c r="B15" s="32">
        <v>10.599679313067</v>
      </c>
      <c r="C15" s="32">
        <v>21.507966</v>
      </c>
      <c r="D15" s="32">
        <v>400.64</v>
      </c>
      <c r="E15" s="32">
        <v>44.99</v>
      </c>
      <c r="F15" s="32">
        <v>180</v>
      </c>
      <c r="G15" s="32">
        <v>0</v>
      </c>
      <c r="H15" s="32">
        <v>975</v>
      </c>
      <c r="I15" s="34">
        <v>1.729E-2</v>
      </c>
      <c r="J15" s="34">
        <v>1.7119999999999999E-4</v>
      </c>
      <c r="K15" s="34">
        <v>1.455E-5</v>
      </c>
      <c r="L15" s="32">
        <v>2319.6053525611628</v>
      </c>
      <c r="M15" s="32">
        <v>10.599679313067</v>
      </c>
      <c r="N15" s="32">
        <v>0</v>
      </c>
      <c r="O15" s="32">
        <v>0</v>
      </c>
      <c r="P15" s="32">
        <v>0</v>
      </c>
      <c r="Q15" s="32">
        <v>0</v>
      </c>
      <c r="R15" s="32">
        <v>0</v>
      </c>
      <c r="S15" s="32">
        <v>0</v>
      </c>
      <c r="T15" s="32">
        <v>5.6044016218733993E-3</v>
      </c>
      <c r="U15" s="32">
        <v>0</v>
      </c>
      <c r="V15" s="32">
        <v>0</v>
      </c>
      <c r="W15" s="32">
        <v>2.547847198867061E-2</v>
      </c>
      <c r="X15" s="32">
        <v>9.0532641584108765E-3</v>
      </c>
      <c r="Y15" s="32">
        <v>2.8345338972167386E-3</v>
      </c>
      <c r="Z15" s="32">
        <v>1.2933234512015539E-3</v>
      </c>
      <c r="AA15" s="32">
        <v>0</v>
      </c>
      <c r="AB15" s="32">
        <v>5.4966246676066031E-4</v>
      </c>
      <c r="AC15" s="32">
        <v>1.2933234512015539E-3</v>
      </c>
    </row>
    <row r="16" spans="1:29" x14ac:dyDescent="0.25">
      <c r="A16" s="32">
        <v>14</v>
      </c>
      <c r="B16" s="32">
        <v>10.650031820245999</v>
      </c>
      <c r="C16" s="32">
        <v>21.848348999999999</v>
      </c>
      <c r="D16" s="32">
        <v>398.601</v>
      </c>
      <c r="E16" s="32">
        <v>45.069000000000003</v>
      </c>
      <c r="F16" s="32">
        <v>180</v>
      </c>
      <c r="G16" s="32">
        <v>0</v>
      </c>
      <c r="H16" s="32">
        <v>975</v>
      </c>
      <c r="I16" s="34">
        <v>1.7309999999999999E-2</v>
      </c>
      <c r="J16" s="34">
        <v>1.7000000000000001E-4</v>
      </c>
      <c r="K16" s="34">
        <v>1.4440000000000001E-5</v>
      </c>
      <c r="L16" s="32">
        <v>2295.226967415013</v>
      </c>
      <c r="M16" s="32">
        <v>10.650031820245999</v>
      </c>
      <c r="N16" s="32">
        <v>4.3568675960889593E-4</v>
      </c>
      <c r="O16" s="32">
        <v>0</v>
      </c>
      <c r="P16" s="32">
        <v>4.3568675960889593E-4</v>
      </c>
      <c r="Q16" s="32">
        <v>0</v>
      </c>
      <c r="R16" s="32">
        <v>4.3568675960889593E-4</v>
      </c>
      <c r="S16" s="32">
        <v>0</v>
      </c>
      <c r="T16" s="32">
        <v>6.5353013941334389E-3</v>
      </c>
      <c r="U16" s="32">
        <v>0</v>
      </c>
      <c r="V16" s="32">
        <v>0</v>
      </c>
      <c r="W16" s="32">
        <v>2.5727303154905304E-2</v>
      </c>
      <c r="X16" s="32">
        <v>8.0275285457939074E-3</v>
      </c>
      <c r="Y16" s="32">
        <v>6.8620664638401106E-4</v>
      </c>
      <c r="Z16" s="32">
        <v>1.3070602788266879E-3</v>
      </c>
      <c r="AA16" s="32">
        <v>4.3568675960889593E-4</v>
      </c>
      <c r="AB16" s="32">
        <v>1.198138588924464E-4</v>
      </c>
      <c r="AC16" s="32">
        <v>1.9279139112693645E-3</v>
      </c>
    </row>
    <row r="17" spans="1:29" x14ac:dyDescent="0.25">
      <c r="A17" s="32">
        <v>15</v>
      </c>
      <c r="B17" s="32">
        <v>10.699887134479001</v>
      </c>
      <c r="C17" s="32">
        <v>22.114270000000001</v>
      </c>
      <c r="D17" s="32">
        <v>396.584</v>
      </c>
      <c r="E17" s="32">
        <v>45.149000000000001</v>
      </c>
      <c r="F17" s="32">
        <v>180</v>
      </c>
      <c r="G17" s="32">
        <v>0</v>
      </c>
      <c r="H17" s="32">
        <v>975</v>
      </c>
      <c r="I17" s="34">
        <v>1.729E-2</v>
      </c>
      <c r="J17" s="34">
        <v>1.7019999999999999E-4</v>
      </c>
      <c r="K17" s="34">
        <v>1.451E-5</v>
      </c>
      <c r="L17" s="32">
        <v>2271.3602952863257</v>
      </c>
      <c r="M17" s="32">
        <v>10.699887134479001</v>
      </c>
      <c r="N17" s="32">
        <v>0</v>
      </c>
      <c r="O17" s="32">
        <v>0</v>
      </c>
      <c r="P17" s="32">
        <v>0</v>
      </c>
      <c r="Q17" s="32">
        <v>0</v>
      </c>
      <c r="R17" s="32">
        <v>0</v>
      </c>
      <c r="S17" s="32">
        <v>0</v>
      </c>
      <c r="T17" s="32">
        <v>3.5221184488441219E-3</v>
      </c>
      <c r="U17" s="32">
        <v>0</v>
      </c>
      <c r="V17" s="32">
        <v>0</v>
      </c>
      <c r="W17" s="32">
        <v>2.2013240305275763E-2</v>
      </c>
      <c r="X17" s="32">
        <v>8.3650313160047885E-3</v>
      </c>
      <c r="Y17" s="32">
        <v>1.3207944183165456E-3</v>
      </c>
      <c r="Z17" s="32">
        <v>1.6399864027430442E-3</v>
      </c>
      <c r="AA17" s="32">
        <v>0</v>
      </c>
      <c r="AB17" s="32">
        <v>1.2107282167901669E-4</v>
      </c>
      <c r="AC17" s="32">
        <v>3.2689661853334503E-3</v>
      </c>
    </row>
    <row r="18" spans="1:29" x14ac:dyDescent="0.25">
      <c r="A18" s="32">
        <v>16</v>
      </c>
      <c r="B18" s="32">
        <v>10.749964670425999</v>
      </c>
      <c r="C18" s="32">
        <v>22.489985000000001</v>
      </c>
      <c r="D18" s="32">
        <v>399.779</v>
      </c>
      <c r="E18" s="32">
        <v>45.228000000000002</v>
      </c>
      <c r="F18" s="32">
        <v>180</v>
      </c>
      <c r="G18" s="32">
        <v>0</v>
      </c>
      <c r="H18" s="32">
        <v>975</v>
      </c>
      <c r="I18" s="34">
        <v>1.729E-2</v>
      </c>
      <c r="J18" s="34">
        <v>1.697E-4</v>
      </c>
      <c r="K18" s="34">
        <v>1.4579999999999999E-5</v>
      </c>
      <c r="L18" s="32">
        <v>2277.3856341504015</v>
      </c>
      <c r="M18" s="32">
        <v>10.749964670425999</v>
      </c>
      <c r="N18" s="32">
        <v>0</v>
      </c>
      <c r="O18" s="32">
        <v>0</v>
      </c>
      <c r="P18" s="32">
        <v>4.3909998596836617E-4</v>
      </c>
      <c r="Q18" s="32">
        <v>4.3909998596836617E-4</v>
      </c>
      <c r="R18" s="32">
        <v>0</v>
      </c>
      <c r="S18" s="32">
        <v>0</v>
      </c>
      <c r="T18" s="32">
        <v>7.0475547747922774E-3</v>
      </c>
      <c r="U18" s="32">
        <v>0</v>
      </c>
      <c r="V18" s="32">
        <v>0</v>
      </c>
      <c r="W18" s="32">
        <v>3.2054298975690731E-2</v>
      </c>
      <c r="X18" s="32">
        <v>8.5295172274355135E-3</v>
      </c>
      <c r="Y18" s="32">
        <v>4.3909998596836617E-4</v>
      </c>
      <c r="Z18" s="32">
        <v>1.7563999438734647E-3</v>
      </c>
      <c r="AA18" s="32">
        <v>0</v>
      </c>
      <c r="AB18" s="32">
        <v>2.6345999158101968E-3</v>
      </c>
      <c r="AC18" s="32">
        <v>4.8300998456520276E-3</v>
      </c>
    </row>
    <row r="19" spans="1:29" x14ac:dyDescent="0.25">
      <c r="A19" s="32">
        <v>17</v>
      </c>
      <c r="B19" s="32">
        <v>10.799630186829001</v>
      </c>
      <c r="C19" s="32">
        <v>23.023873999999999</v>
      </c>
      <c r="D19" s="32">
        <v>397.82499999999999</v>
      </c>
      <c r="E19" s="32">
        <v>45.307000000000002</v>
      </c>
      <c r="F19" s="32">
        <v>180</v>
      </c>
      <c r="G19" s="32">
        <v>0</v>
      </c>
      <c r="H19" s="32">
        <v>975</v>
      </c>
      <c r="I19" s="34">
        <v>1.7309999999999999E-2</v>
      </c>
      <c r="J19" s="34">
        <v>1.694E-4</v>
      </c>
      <c r="K19" s="34">
        <v>1.455E-5</v>
      </c>
      <c r="L19" s="32">
        <v>2254.2701505594673</v>
      </c>
      <c r="M19" s="32">
        <v>10.799630186829001</v>
      </c>
      <c r="N19" s="32">
        <v>0</v>
      </c>
      <c r="O19" s="32">
        <v>0</v>
      </c>
      <c r="P19" s="32">
        <v>0</v>
      </c>
      <c r="Q19" s="32">
        <v>0</v>
      </c>
      <c r="R19" s="32">
        <v>8.872051113765747E-4</v>
      </c>
      <c r="S19" s="32">
        <v>0</v>
      </c>
      <c r="T19" s="32">
        <v>9.7592562251423223E-3</v>
      </c>
      <c r="U19" s="32">
        <v>0</v>
      </c>
      <c r="V19" s="32">
        <v>4.4360255568828735E-4</v>
      </c>
      <c r="W19" s="32">
        <v>3.4623179471470825E-2</v>
      </c>
      <c r="X19" s="32">
        <v>1.1090063892207184E-2</v>
      </c>
      <c r="Y19" s="32">
        <v>2.2180127784414369E-3</v>
      </c>
      <c r="Z19" s="32">
        <v>1.7744102227531494E-3</v>
      </c>
      <c r="AA19" s="32">
        <v>0</v>
      </c>
      <c r="AB19" s="32">
        <v>8.872051113765747E-4</v>
      </c>
      <c r="AC19" s="32">
        <v>9.5041847556215572E-3</v>
      </c>
    </row>
    <row r="20" spans="1:29" x14ac:dyDescent="0.25">
      <c r="A20" s="32">
        <v>18</v>
      </c>
      <c r="B20" s="32">
        <v>10.849619656598</v>
      </c>
      <c r="C20" s="32">
        <v>23.458189000000001</v>
      </c>
      <c r="D20" s="32">
        <v>395.90100000000001</v>
      </c>
      <c r="E20" s="32">
        <v>45.384999999999998</v>
      </c>
      <c r="F20" s="32">
        <v>180</v>
      </c>
      <c r="G20" s="32">
        <v>0</v>
      </c>
      <c r="H20" s="32">
        <v>975</v>
      </c>
      <c r="I20" s="34">
        <v>1.7270000000000001E-2</v>
      </c>
      <c r="J20" s="34">
        <v>1.7039999999999999E-4</v>
      </c>
      <c r="K20" s="34">
        <v>1.465E-5</v>
      </c>
      <c r="L20" s="32">
        <v>2225.2282158742878</v>
      </c>
      <c r="M20" s="32">
        <v>10.849619656598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0</v>
      </c>
      <c r="T20" s="32">
        <v>5.6286361599450383E-3</v>
      </c>
      <c r="U20" s="32">
        <v>4.4939210857844616E-4</v>
      </c>
      <c r="V20" s="32">
        <v>4.4939210857844616E-4</v>
      </c>
      <c r="W20" s="32">
        <v>3.4603192360540352E-2</v>
      </c>
      <c r="X20" s="32">
        <v>1.3414354441066619E-2</v>
      </c>
      <c r="Y20" s="32">
        <v>2.9547531139032836E-3</v>
      </c>
      <c r="Z20" s="32">
        <v>3.1457447600491233E-3</v>
      </c>
      <c r="AA20" s="32">
        <v>4.4939210857844616E-4</v>
      </c>
      <c r="AB20" s="32">
        <v>3.5951368686275693E-3</v>
      </c>
      <c r="AC20" s="32">
        <v>5.774688595233033E-3</v>
      </c>
    </row>
    <row r="21" spans="1:29" x14ac:dyDescent="0.25">
      <c r="A21" s="32">
        <v>19</v>
      </c>
      <c r="B21" s="32">
        <v>10.899635912628</v>
      </c>
      <c r="C21" s="32">
        <v>23.972162999999998</v>
      </c>
      <c r="D21" s="32">
        <v>399.86799999999999</v>
      </c>
      <c r="E21" s="32">
        <v>45.463999999999999</v>
      </c>
      <c r="F21" s="32">
        <v>180</v>
      </c>
      <c r="G21" s="32">
        <v>0</v>
      </c>
      <c r="H21" s="32">
        <v>975</v>
      </c>
      <c r="I21" s="34">
        <v>1.7250000000000001E-2</v>
      </c>
      <c r="J21" s="34">
        <v>1.7119999999999999E-4</v>
      </c>
      <c r="K21" s="34">
        <v>1.449E-5</v>
      </c>
      <c r="L21" s="32">
        <v>2227.0658649315246</v>
      </c>
      <c r="M21" s="32">
        <v>10.899635912628</v>
      </c>
      <c r="N21" s="32">
        <v>0</v>
      </c>
      <c r="O21" s="32">
        <v>0</v>
      </c>
      <c r="P21" s="32">
        <v>0</v>
      </c>
      <c r="Q21" s="32">
        <v>0</v>
      </c>
      <c r="R21" s="32">
        <v>8.9804259114783472E-4</v>
      </c>
      <c r="S21" s="32">
        <v>0</v>
      </c>
      <c r="T21" s="32">
        <v>1.7960851822956692E-2</v>
      </c>
      <c r="U21" s="32">
        <v>0</v>
      </c>
      <c r="V21" s="32">
        <v>0</v>
      </c>
      <c r="W21" s="32">
        <v>3.0084426803452462E-2</v>
      </c>
      <c r="X21" s="32">
        <v>1.2123574980495768E-2</v>
      </c>
      <c r="Y21" s="32">
        <v>2.6941277734435043E-3</v>
      </c>
      <c r="Z21" s="32">
        <v>1.9981447653039321E-3</v>
      </c>
      <c r="AA21" s="32">
        <v>1.3470638867217521E-3</v>
      </c>
      <c r="AB21" s="32">
        <v>1.3470638867217521E-3</v>
      </c>
      <c r="AC21" s="32">
        <v>1.0967345144392932E-2</v>
      </c>
    </row>
    <row r="22" spans="1:29" x14ac:dyDescent="0.25">
      <c r="A22" s="32">
        <v>20</v>
      </c>
      <c r="B22" s="32">
        <v>10.949463825786999</v>
      </c>
      <c r="C22" s="32">
        <v>24.444400999999999</v>
      </c>
      <c r="D22" s="32">
        <v>397.90600000000001</v>
      </c>
      <c r="E22" s="32">
        <v>45.542000000000002</v>
      </c>
      <c r="F22" s="32">
        <v>180</v>
      </c>
      <c r="G22" s="32">
        <v>0</v>
      </c>
      <c r="H22" s="32">
        <v>975</v>
      </c>
      <c r="I22" s="34">
        <v>1.7250000000000001E-2</v>
      </c>
      <c r="J22" s="34">
        <v>1.6860000000000001E-4</v>
      </c>
      <c r="K22" s="34">
        <v>1.4630000000000001E-5</v>
      </c>
      <c r="L22" s="32">
        <v>2196.2212718764467</v>
      </c>
      <c r="M22" s="32">
        <v>10.949463825786999</v>
      </c>
      <c r="N22" s="32">
        <v>0</v>
      </c>
      <c r="O22" s="32">
        <v>0</v>
      </c>
      <c r="P22" s="32">
        <v>0</v>
      </c>
      <c r="Q22" s="32">
        <v>0</v>
      </c>
      <c r="R22" s="32">
        <v>1.3659825803603142E-3</v>
      </c>
      <c r="S22" s="32">
        <v>0</v>
      </c>
      <c r="T22" s="32">
        <v>1.3659825803603143E-2</v>
      </c>
      <c r="U22" s="32">
        <v>0</v>
      </c>
      <c r="V22" s="32">
        <v>0</v>
      </c>
      <c r="W22" s="32">
        <v>4.0068822357235884E-2</v>
      </c>
      <c r="X22" s="32">
        <v>1.2487357422127206E-2</v>
      </c>
      <c r="Y22" s="32">
        <v>1.3659825803603142E-3</v>
      </c>
      <c r="Z22" s="32">
        <v>9.1065505357354286E-4</v>
      </c>
      <c r="AA22" s="32">
        <v>1.3659825803603142E-3</v>
      </c>
      <c r="AB22" s="32">
        <v>2.5270677736665813E-3</v>
      </c>
      <c r="AC22" s="32">
        <v>1.320449827681637E-2</v>
      </c>
    </row>
    <row r="23" spans="1:29" x14ac:dyDescent="0.25">
      <c r="A23" s="32">
        <v>21</v>
      </c>
      <c r="B23" s="32">
        <v>10.999373660594999</v>
      </c>
      <c r="C23" s="32">
        <v>24.805343000000001</v>
      </c>
      <c r="D23" s="32">
        <v>395.952</v>
      </c>
      <c r="E23" s="32">
        <v>45.62</v>
      </c>
      <c r="F23" s="32">
        <v>180</v>
      </c>
      <c r="G23" s="32">
        <v>0</v>
      </c>
      <c r="H23" s="32">
        <v>975</v>
      </c>
      <c r="I23" s="34">
        <v>1.7270000000000001E-2</v>
      </c>
      <c r="J23" s="34">
        <v>1.708E-4</v>
      </c>
      <c r="K23" s="34">
        <v>1.448E-5</v>
      </c>
      <c r="L23" s="32">
        <v>2165.9382065343216</v>
      </c>
      <c r="M23" s="32">
        <v>10.999373660594999</v>
      </c>
      <c r="N23" s="32">
        <v>0</v>
      </c>
      <c r="O23" s="32">
        <v>0</v>
      </c>
      <c r="P23" s="32">
        <v>0</v>
      </c>
      <c r="Q23" s="32">
        <v>0</v>
      </c>
      <c r="R23" s="32">
        <v>9.2338737733435323E-4</v>
      </c>
      <c r="S23" s="32">
        <v>0</v>
      </c>
      <c r="T23" s="32">
        <v>1.6620972792018358E-2</v>
      </c>
      <c r="U23" s="32">
        <v>4.6169368866717662E-4</v>
      </c>
      <c r="V23" s="32">
        <v>4.6169368866717662E-4</v>
      </c>
      <c r="W23" s="32">
        <v>4.023660496734445E-2</v>
      </c>
      <c r="X23" s="32">
        <v>1.5893805232367556E-2</v>
      </c>
      <c r="Y23" s="32">
        <v>1.6505549369851566E-3</v>
      </c>
      <c r="Z23" s="32">
        <v>0</v>
      </c>
      <c r="AA23" s="32">
        <v>1.38508106600153E-3</v>
      </c>
      <c r="AB23" s="32">
        <v>2.8971278963865338E-3</v>
      </c>
      <c r="AC23" s="32">
        <v>1.4774198037349652E-2</v>
      </c>
    </row>
    <row r="24" spans="1:29" x14ac:dyDescent="0.25">
      <c r="A24" s="32">
        <v>22</v>
      </c>
      <c r="B24" s="32">
        <v>11.049716877751001</v>
      </c>
      <c r="C24" s="32">
        <v>25.258154000000001</v>
      </c>
      <c r="D24" s="32">
        <v>396.83600000000001</v>
      </c>
      <c r="E24" s="32">
        <v>45.697000000000003</v>
      </c>
      <c r="F24" s="32">
        <v>180</v>
      </c>
      <c r="G24" s="32">
        <v>0</v>
      </c>
      <c r="H24" s="32">
        <v>975</v>
      </c>
      <c r="I24" s="34">
        <v>1.737E-2</v>
      </c>
      <c r="J24" s="34">
        <v>1.718E-4</v>
      </c>
      <c r="K24" s="34">
        <v>1.453E-5</v>
      </c>
      <c r="L24" s="32">
        <v>2151.4126823562274</v>
      </c>
      <c r="M24" s="32">
        <v>11.049716877751001</v>
      </c>
      <c r="N24" s="32">
        <v>0</v>
      </c>
      <c r="O24" s="32">
        <v>0</v>
      </c>
      <c r="P24" s="32">
        <v>0</v>
      </c>
      <c r="Q24" s="32">
        <v>0</v>
      </c>
      <c r="R24" s="32">
        <v>4.6481086971412658E-4</v>
      </c>
      <c r="S24" s="32">
        <v>0</v>
      </c>
      <c r="T24" s="32">
        <v>1.5338758700566177E-2</v>
      </c>
      <c r="U24" s="32">
        <v>0</v>
      </c>
      <c r="V24" s="32">
        <v>4.6481086971412658E-4</v>
      </c>
      <c r="W24" s="32">
        <v>4.5551465231984403E-2</v>
      </c>
      <c r="X24" s="32">
        <v>1.9719601147621817E-2</v>
      </c>
      <c r="Y24" s="32">
        <v>1.3944326091423797E-3</v>
      </c>
      <c r="Z24" s="32">
        <v>3.253676087998886E-3</v>
      </c>
      <c r="AA24" s="32">
        <v>4.6481086971412658E-4</v>
      </c>
      <c r="AB24" s="32">
        <v>6.0425413062836454E-3</v>
      </c>
      <c r="AC24" s="32">
        <v>2.0916489137135695E-2</v>
      </c>
    </row>
    <row r="25" spans="1:29" x14ac:dyDescent="0.25">
      <c r="A25" s="32">
        <v>23</v>
      </c>
      <c r="B25" s="32">
        <v>11.099853399863999</v>
      </c>
      <c r="C25" s="32">
        <v>25.603376999999998</v>
      </c>
      <c r="D25" s="32">
        <v>398.64299999999997</v>
      </c>
      <c r="E25" s="32">
        <v>45.774999999999999</v>
      </c>
      <c r="F25" s="32">
        <v>180</v>
      </c>
      <c r="G25" s="32">
        <v>0</v>
      </c>
      <c r="H25" s="32">
        <v>975</v>
      </c>
      <c r="I25" s="34">
        <v>1.7500000000000002E-2</v>
      </c>
      <c r="J25" s="34">
        <v>1.716E-4</v>
      </c>
      <c r="K25" s="34">
        <v>1.467E-5</v>
      </c>
      <c r="L25" s="32">
        <v>2142.1814558816222</v>
      </c>
      <c r="M25" s="32">
        <v>11.099853399863999</v>
      </c>
      <c r="N25" s="32">
        <v>4.6681386268860518E-4</v>
      </c>
      <c r="O25" s="32">
        <v>0</v>
      </c>
      <c r="P25" s="32">
        <v>0</v>
      </c>
      <c r="Q25" s="32">
        <v>0</v>
      </c>
      <c r="R25" s="32">
        <v>1.4004415880658155E-3</v>
      </c>
      <c r="S25" s="32">
        <v>0</v>
      </c>
      <c r="T25" s="32">
        <v>2.8942459486693523E-2</v>
      </c>
      <c r="U25" s="32">
        <v>4.6681386268860518E-4</v>
      </c>
      <c r="V25" s="32">
        <v>0</v>
      </c>
      <c r="W25" s="32">
        <v>7.9848511212885928E-2</v>
      </c>
      <c r="X25" s="32">
        <v>1.5603253360366628E-2</v>
      </c>
      <c r="Y25" s="32">
        <v>3.5361150098661845E-3</v>
      </c>
      <c r="Z25" s="32">
        <v>4.5397648146466851E-3</v>
      </c>
      <c r="AA25" s="32">
        <v>9.3362772537721036E-4</v>
      </c>
      <c r="AB25" s="32">
        <v>8.6593971528736262E-3</v>
      </c>
      <c r="AC25" s="32">
        <v>5.1081106924700623E-2</v>
      </c>
    </row>
    <row r="26" spans="1:29" x14ac:dyDescent="0.25">
      <c r="A26" s="32">
        <v>24</v>
      </c>
      <c r="B26" s="32">
        <v>11.152426230863</v>
      </c>
      <c r="C26" s="32">
        <v>26.341593</v>
      </c>
      <c r="D26" s="32">
        <v>398.20800000000003</v>
      </c>
      <c r="E26" s="32">
        <v>45.851999999999997</v>
      </c>
      <c r="F26" s="32">
        <v>180</v>
      </c>
      <c r="G26" s="32">
        <v>0</v>
      </c>
      <c r="H26" s="32">
        <v>975</v>
      </c>
      <c r="I26" s="34">
        <v>1.7440000000000001E-2</v>
      </c>
      <c r="J26" s="34">
        <v>1.7119999999999999E-4</v>
      </c>
      <c r="K26" s="34">
        <v>1.453E-5</v>
      </c>
      <c r="L26" s="32">
        <v>2126.3883996028339</v>
      </c>
      <c r="M26" s="32">
        <v>11.152426230863</v>
      </c>
      <c r="N26" s="32">
        <v>0</v>
      </c>
      <c r="O26" s="32">
        <v>0</v>
      </c>
      <c r="P26" s="32">
        <v>0</v>
      </c>
      <c r="Q26" s="32">
        <v>0</v>
      </c>
      <c r="R26" s="32">
        <v>1.410842911182331E-3</v>
      </c>
      <c r="S26" s="32">
        <v>0</v>
      </c>
      <c r="T26" s="32">
        <v>2.6335734342070177E-2</v>
      </c>
      <c r="U26" s="32">
        <v>0</v>
      </c>
      <c r="V26" s="32">
        <v>9.4056194078822068E-4</v>
      </c>
      <c r="W26" s="32">
        <v>5.1754420791871841E-2</v>
      </c>
      <c r="X26" s="32">
        <v>2.0621820551781737E-2</v>
      </c>
      <c r="Y26" s="32">
        <v>4.0326593211294955E-3</v>
      </c>
      <c r="Z26" s="32">
        <v>2.3514048519705515E-3</v>
      </c>
      <c r="AA26" s="32">
        <v>1.410842911182331E-3</v>
      </c>
      <c r="AB26" s="32">
        <v>5.7726989115877043E-3</v>
      </c>
      <c r="AC26" s="32">
        <v>3.5941223162369883E-2</v>
      </c>
    </row>
    <row r="27" spans="1:29" x14ac:dyDescent="0.25">
      <c r="A27" s="32">
        <v>25</v>
      </c>
      <c r="B27" s="32">
        <v>11.199896698266</v>
      </c>
      <c r="C27" s="32">
        <v>26.588439999999999</v>
      </c>
      <c r="D27" s="32">
        <v>396.22500000000002</v>
      </c>
      <c r="E27" s="32">
        <v>45.929000000000002</v>
      </c>
      <c r="F27" s="32">
        <v>180</v>
      </c>
      <c r="G27" s="32">
        <v>0</v>
      </c>
      <c r="H27" s="32">
        <v>975</v>
      </c>
      <c r="I27" s="34">
        <v>1.7270000000000001E-2</v>
      </c>
      <c r="J27" s="34">
        <v>1.7119999999999999E-4</v>
      </c>
      <c r="K27" s="34">
        <v>1.467E-5</v>
      </c>
      <c r="L27" s="32">
        <v>2104.5641505207514</v>
      </c>
      <c r="M27" s="32">
        <v>11.199896698266</v>
      </c>
      <c r="N27" s="32">
        <v>0</v>
      </c>
      <c r="O27" s="32">
        <v>4.7515776592153819E-4</v>
      </c>
      <c r="P27" s="32">
        <v>4.7515776592153819E-4</v>
      </c>
      <c r="Q27" s="32">
        <v>0</v>
      </c>
      <c r="R27" s="32">
        <v>1.4254732977646144E-3</v>
      </c>
      <c r="S27" s="32">
        <v>0</v>
      </c>
      <c r="T27" s="32">
        <v>1.6879979634362642E-2</v>
      </c>
      <c r="U27" s="32">
        <v>0</v>
      </c>
      <c r="V27" s="32">
        <v>4.7515776592153819E-4</v>
      </c>
      <c r="W27" s="32">
        <v>3.5280464119674212E-2</v>
      </c>
      <c r="X27" s="32">
        <v>2.4838872213548406E-2</v>
      </c>
      <c r="Y27" s="32">
        <v>2.8509465955292288E-3</v>
      </c>
      <c r="Z27" s="32">
        <v>3.8012621273723055E-3</v>
      </c>
      <c r="AA27" s="32">
        <v>6.6522087229015342E-4</v>
      </c>
      <c r="AB27" s="32">
        <v>8.5528397865876869E-3</v>
      </c>
      <c r="AC27" s="32">
        <v>2.9186565771730479E-2</v>
      </c>
    </row>
    <row r="28" spans="1:29" x14ac:dyDescent="0.25">
      <c r="A28" s="32">
        <v>26</v>
      </c>
      <c r="B28" s="32">
        <v>11.250057197706999</v>
      </c>
      <c r="C28" s="32">
        <v>27.115565</v>
      </c>
      <c r="D28" s="32">
        <v>399.51</v>
      </c>
      <c r="E28" s="32">
        <v>46.006</v>
      </c>
      <c r="F28" s="32">
        <v>180</v>
      </c>
      <c r="G28" s="32">
        <v>0</v>
      </c>
      <c r="H28" s="32">
        <v>975</v>
      </c>
      <c r="I28" s="34">
        <v>1.7250000000000001E-2</v>
      </c>
      <c r="J28" s="34">
        <v>1.697E-4</v>
      </c>
      <c r="K28" s="34">
        <v>1.4600000000000001E-5</v>
      </c>
      <c r="L28" s="32">
        <v>2110.1722147947185</v>
      </c>
      <c r="M28" s="32">
        <v>11.250057197706999</v>
      </c>
      <c r="N28" s="32">
        <v>0</v>
      </c>
      <c r="O28" s="32">
        <v>0</v>
      </c>
      <c r="P28" s="32">
        <v>0</v>
      </c>
      <c r="Q28" s="32">
        <v>0</v>
      </c>
      <c r="R28" s="32">
        <v>1.4216849122391868E-3</v>
      </c>
      <c r="S28" s="32">
        <v>0</v>
      </c>
      <c r="T28" s="32">
        <v>1.6361223865019307E-2</v>
      </c>
      <c r="U28" s="32">
        <v>0</v>
      </c>
      <c r="V28" s="32">
        <v>0</v>
      </c>
      <c r="W28" s="32">
        <v>3.5589512303054308E-2</v>
      </c>
      <c r="X28" s="32">
        <v>2.4642538478812575E-2</v>
      </c>
      <c r="Y28" s="32">
        <v>3.1158594326575516E-3</v>
      </c>
      <c r="Z28" s="32">
        <v>1.0307215613734105E-3</v>
      </c>
      <c r="AA28" s="32">
        <v>1.753411391761664E-3</v>
      </c>
      <c r="AB28" s="32">
        <v>1.1503800414868754E-2</v>
      </c>
      <c r="AC28" s="32">
        <v>2.4571454233200615E-2</v>
      </c>
    </row>
    <row r="29" spans="1:29" x14ac:dyDescent="0.25">
      <c r="A29" s="32">
        <v>27</v>
      </c>
      <c r="B29" s="32">
        <v>11.299479338816999</v>
      </c>
      <c r="C29" s="32">
        <v>27.568026</v>
      </c>
      <c r="D29" s="32">
        <v>397.45499999999998</v>
      </c>
      <c r="E29" s="32">
        <v>46.082000000000001</v>
      </c>
      <c r="F29" s="32">
        <v>180</v>
      </c>
      <c r="G29" s="32">
        <v>0</v>
      </c>
      <c r="H29" s="32">
        <v>975</v>
      </c>
      <c r="I29" s="34">
        <v>1.7309999999999999E-2</v>
      </c>
      <c r="J29" s="34">
        <v>1.7100000000000001E-4</v>
      </c>
      <c r="K29" s="34">
        <v>1.4600000000000001E-5</v>
      </c>
      <c r="L29" s="32">
        <v>2087.8397288818433</v>
      </c>
      <c r="M29" s="32">
        <v>11.299479338816999</v>
      </c>
      <c r="N29" s="32">
        <v>0</v>
      </c>
      <c r="O29" s="32">
        <v>4.7896396747635261E-4</v>
      </c>
      <c r="P29" s="32">
        <v>4.7896396747635261E-4</v>
      </c>
      <c r="Q29" s="32">
        <v>0</v>
      </c>
      <c r="R29" s="32">
        <v>1.4368919024290577E-3</v>
      </c>
      <c r="S29" s="32">
        <v>0</v>
      </c>
      <c r="T29" s="32">
        <v>2.0595450601483163E-2</v>
      </c>
      <c r="U29" s="32">
        <v>0</v>
      </c>
      <c r="V29" s="32">
        <v>4.7896396747635261E-4</v>
      </c>
      <c r="W29" s="32">
        <v>3.7407085859903134E-2</v>
      </c>
      <c r="X29" s="32">
        <v>2.1756938222613317E-2</v>
      </c>
      <c r="Y29" s="32">
        <v>4.5860799885860757E-3</v>
      </c>
      <c r="Z29" s="32">
        <v>5.6158525186602339E-3</v>
      </c>
      <c r="AA29" s="32">
        <v>2.3948198373817632E-3</v>
      </c>
      <c r="AB29" s="32">
        <v>1.354270618039387E-2</v>
      </c>
      <c r="AC29" s="32">
        <v>3.3527477723344683E-2</v>
      </c>
    </row>
    <row r="30" spans="1:29" x14ac:dyDescent="0.25">
      <c r="A30" s="32">
        <v>28</v>
      </c>
      <c r="B30" s="32">
        <v>11.349212617671</v>
      </c>
      <c r="C30" s="32">
        <v>27.875661999999998</v>
      </c>
      <c r="D30" s="32">
        <v>395.36099999999999</v>
      </c>
      <c r="E30" s="32">
        <v>46.158000000000001</v>
      </c>
      <c r="F30" s="32">
        <v>180</v>
      </c>
      <c r="G30" s="32">
        <v>0</v>
      </c>
      <c r="H30" s="32">
        <v>975</v>
      </c>
      <c r="I30" s="34">
        <v>1.7270000000000001E-2</v>
      </c>
      <c r="J30" s="34">
        <v>1.694E-4</v>
      </c>
      <c r="K30" s="34">
        <v>1.455E-5</v>
      </c>
      <c r="L30" s="32">
        <v>2065.4756607761442</v>
      </c>
      <c r="M30" s="32">
        <v>11.349212617671</v>
      </c>
      <c r="N30" s="32">
        <v>0</v>
      </c>
      <c r="O30" s="32">
        <v>0</v>
      </c>
      <c r="P30" s="32">
        <v>0</v>
      </c>
      <c r="Q30" s="32">
        <v>0</v>
      </c>
      <c r="R30" s="32">
        <v>9.682999601401546E-4</v>
      </c>
      <c r="S30" s="32">
        <v>0</v>
      </c>
      <c r="T30" s="32">
        <v>1.6715278061919418E-2</v>
      </c>
      <c r="U30" s="32">
        <v>4.841499800700773E-4</v>
      </c>
      <c r="V30" s="32">
        <v>0</v>
      </c>
      <c r="W30" s="32">
        <v>3.5899721022196233E-2</v>
      </c>
      <c r="X30" s="32">
        <v>2.4691648983573945E-2</v>
      </c>
      <c r="Y30" s="32">
        <v>9.682999601401546E-4</v>
      </c>
      <c r="Z30" s="32">
        <v>3.3890498604905411E-3</v>
      </c>
      <c r="AA30" s="32">
        <v>2.2755049063293634E-3</v>
      </c>
      <c r="AB30" s="32">
        <v>7.8795409256405078E-3</v>
      </c>
      <c r="AC30" s="32">
        <v>2.3723349023433787E-2</v>
      </c>
    </row>
    <row r="31" spans="1:29" x14ac:dyDescent="0.25">
      <c r="A31" s="32">
        <v>29</v>
      </c>
      <c r="B31" s="32">
        <v>11.399234288075</v>
      </c>
      <c r="C31" s="32">
        <v>28.457144</v>
      </c>
      <c r="D31" s="32">
        <v>398.94</v>
      </c>
      <c r="E31" s="32">
        <v>46.234000000000002</v>
      </c>
      <c r="F31" s="32">
        <v>180</v>
      </c>
      <c r="G31" s="32">
        <v>0</v>
      </c>
      <c r="H31" s="32">
        <v>975</v>
      </c>
      <c r="I31" s="34">
        <v>1.7229999999999999E-2</v>
      </c>
      <c r="J31" s="34">
        <v>1.6880000000000001E-4</v>
      </c>
      <c r="K31" s="34">
        <v>1.448E-5</v>
      </c>
      <c r="L31" s="32">
        <v>2072.7656346557233</v>
      </c>
      <c r="M31" s="32">
        <v>11.399234288075</v>
      </c>
      <c r="N31" s="32">
        <v>4.824472112430093E-4</v>
      </c>
      <c r="O31" s="32">
        <v>0</v>
      </c>
      <c r="P31" s="32">
        <v>0</v>
      </c>
      <c r="Q31" s="32">
        <v>0</v>
      </c>
      <c r="R31" s="32">
        <v>1.447341633729028E-3</v>
      </c>
      <c r="S31" s="32">
        <v>0</v>
      </c>
      <c r="T31" s="32">
        <v>2.3157466139664448E-2</v>
      </c>
      <c r="U31" s="32">
        <v>0</v>
      </c>
      <c r="V31" s="32">
        <v>0</v>
      </c>
      <c r="W31" s="32">
        <v>3.6690110415030855E-2</v>
      </c>
      <c r="X31" s="32">
        <v>2.5292295049414763E-2</v>
      </c>
      <c r="Y31" s="32">
        <v>3.8595776899440744E-3</v>
      </c>
      <c r="Z31" s="32">
        <v>4.2093519180952561E-3</v>
      </c>
      <c r="AA31" s="32">
        <v>3.8595776899440744E-3</v>
      </c>
      <c r="AB31" s="32">
        <v>1.2543627492318242E-2</v>
      </c>
      <c r="AC31" s="32">
        <v>2.4049993480464014E-2</v>
      </c>
    </row>
    <row r="32" spans="1:29" x14ac:dyDescent="0.25">
      <c r="A32" s="32">
        <v>30</v>
      </c>
      <c r="B32" s="32">
        <v>11.449800635673</v>
      </c>
      <c r="C32" s="32">
        <v>28.868817</v>
      </c>
      <c r="D32" s="32">
        <v>396.95600000000002</v>
      </c>
      <c r="E32" s="32">
        <v>46.31</v>
      </c>
      <c r="F32" s="32">
        <v>180</v>
      </c>
      <c r="G32" s="32">
        <v>0</v>
      </c>
      <c r="H32" s="32">
        <v>975</v>
      </c>
      <c r="I32" s="34">
        <v>1.72E-2</v>
      </c>
      <c r="J32" s="34">
        <v>1.696E-4</v>
      </c>
      <c r="K32" s="34">
        <v>1.453E-5</v>
      </c>
      <c r="L32" s="32">
        <v>2051.1084190774586</v>
      </c>
      <c r="M32" s="32">
        <v>11.449800635673</v>
      </c>
      <c r="N32" s="32">
        <v>4.8754126827180448E-4</v>
      </c>
      <c r="O32" s="32">
        <v>0</v>
      </c>
      <c r="P32" s="32">
        <v>0</v>
      </c>
      <c r="Q32" s="32">
        <v>0</v>
      </c>
      <c r="R32" s="32">
        <v>0</v>
      </c>
      <c r="S32" s="32">
        <v>1.3407384877474625E-4</v>
      </c>
      <c r="T32" s="32">
        <v>1.9501650730872178E-2</v>
      </c>
      <c r="U32" s="32">
        <v>0</v>
      </c>
      <c r="V32" s="32">
        <v>0</v>
      </c>
      <c r="W32" s="32">
        <v>3.0812608154778043E-2</v>
      </c>
      <c r="X32" s="32">
        <v>2.7923926140267601E-2</v>
      </c>
      <c r="Y32" s="32">
        <v>2.9252476096308269E-3</v>
      </c>
      <c r="Z32" s="32">
        <v>6.4233562094810244E-3</v>
      </c>
      <c r="AA32" s="32">
        <v>6.3380364875334581E-3</v>
      </c>
      <c r="AB32" s="32">
        <v>1.657640312124135E-2</v>
      </c>
      <c r="AC32" s="32">
        <v>2.5352145950133832E-2</v>
      </c>
    </row>
    <row r="33" spans="1:29" x14ac:dyDescent="0.25">
      <c r="A33" s="32">
        <v>31</v>
      </c>
      <c r="B33" s="32">
        <v>11.499508402167001</v>
      </c>
      <c r="C33" s="32">
        <v>29.393115000000002</v>
      </c>
      <c r="D33" s="32">
        <v>393.642</v>
      </c>
      <c r="E33" s="32">
        <v>46.384999999999998</v>
      </c>
      <c r="F33" s="32">
        <v>180</v>
      </c>
      <c r="G33" s="32">
        <v>0</v>
      </c>
      <c r="H33" s="32">
        <v>975</v>
      </c>
      <c r="I33" s="34">
        <v>1.72E-2</v>
      </c>
      <c r="J33" s="34">
        <v>1.6899999999999999E-4</v>
      </c>
      <c r="K33" s="34">
        <v>1.446E-5</v>
      </c>
      <c r="L33" s="32">
        <v>2023.0415993492027</v>
      </c>
      <c r="M33" s="32">
        <v>11.499508402167001</v>
      </c>
      <c r="N33" s="32">
        <v>0</v>
      </c>
      <c r="O33" s="32">
        <v>0</v>
      </c>
      <c r="P33" s="32">
        <v>0</v>
      </c>
      <c r="Q33" s="32">
        <v>4.9430520871231339E-4</v>
      </c>
      <c r="R33" s="32">
        <v>4.9430520871231339E-4</v>
      </c>
      <c r="S33" s="32">
        <v>1.4829156261369403E-3</v>
      </c>
      <c r="T33" s="32">
        <v>1.9772208348492536E-2</v>
      </c>
      <c r="U33" s="32">
        <v>0</v>
      </c>
      <c r="V33" s="32">
        <v>0</v>
      </c>
      <c r="W33" s="32">
        <v>4.1521637531834327E-2</v>
      </c>
      <c r="X33" s="32">
        <v>3.777727557583855E-2</v>
      </c>
      <c r="Y33" s="32">
        <v>2.0513666161561007E-3</v>
      </c>
      <c r="Z33" s="32">
        <v>6.4259677132600746E-3</v>
      </c>
      <c r="AA33" s="32">
        <v>5.9316625045477611E-3</v>
      </c>
      <c r="AB33" s="32">
        <v>1.5817766678794028E-2</v>
      </c>
      <c r="AC33" s="32">
        <v>3.0857002653866164E-2</v>
      </c>
    </row>
    <row r="34" spans="1:29" x14ac:dyDescent="0.25">
      <c r="A34" s="32">
        <v>32</v>
      </c>
      <c r="B34" s="32">
        <v>11.549960361678</v>
      </c>
      <c r="C34" s="32">
        <v>30.185652000000001</v>
      </c>
      <c r="D34" s="32">
        <v>397.21100000000001</v>
      </c>
      <c r="E34" s="32">
        <v>46.460999999999999</v>
      </c>
      <c r="F34" s="32">
        <v>180</v>
      </c>
      <c r="G34" s="32">
        <v>0</v>
      </c>
      <c r="H34" s="32">
        <v>975</v>
      </c>
      <c r="I34" s="34">
        <v>1.72E-2</v>
      </c>
      <c r="J34" s="34">
        <v>1.697E-4</v>
      </c>
      <c r="K34" s="34">
        <v>1.4579999999999999E-5</v>
      </c>
      <c r="L34" s="32">
        <v>2030.2969660994804</v>
      </c>
      <c r="M34" s="32">
        <v>11.549960361678</v>
      </c>
      <c r="N34" s="32">
        <v>0</v>
      </c>
      <c r="O34" s="32">
        <v>0</v>
      </c>
      <c r="P34" s="32">
        <v>0</v>
      </c>
      <c r="Q34" s="32">
        <v>0</v>
      </c>
      <c r="R34" s="32">
        <v>1.4776163537117781E-3</v>
      </c>
      <c r="S34" s="32">
        <v>2.4626939228529635E-3</v>
      </c>
      <c r="T34" s="32">
        <v>2.0711255891193422E-2</v>
      </c>
      <c r="U34" s="32">
        <v>4.9253878457059279E-4</v>
      </c>
      <c r="V34" s="32">
        <v>4.9253878457059279E-4</v>
      </c>
      <c r="W34" s="32">
        <v>4.72837233187769E-2</v>
      </c>
      <c r="X34" s="32">
        <v>2.5821345781113322E-2</v>
      </c>
      <c r="Y34" s="32">
        <v>2.2533649394104616E-3</v>
      </c>
      <c r="Z34" s="32">
        <v>9.5798793598980275E-3</v>
      </c>
      <c r="AA34" s="32">
        <v>2.9552327074235563E-3</v>
      </c>
      <c r="AB34" s="32">
        <v>1.4554521084061016E-2</v>
      </c>
      <c r="AC34" s="32">
        <v>2.9269117273107471E-2</v>
      </c>
    </row>
    <row r="35" spans="1:29" x14ac:dyDescent="0.25">
      <c r="A35" s="32">
        <v>33</v>
      </c>
      <c r="B35" s="32">
        <v>11.599655478452</v>
      </c>
      <c r="C35" s="32">
        <v>31.623187000000001</v>
      </c>
      <c r="D35" s="32">
        <v>395.28300000000002</v>
      </c>
      <c r="E35" s="32">
        <v>46.536000000000001</v>
      </c>
      <c r="F35" s="32">
        <v>180</v>
      </c>
      <c r="G35" s="32">
        <v>0</v>
      </c>
      <c r="H35" s="32">
        <v>975</v>
      </c>
      <c r="I35" s="34">
        <v>1.7389999999999999E-2</v>
      </c>
      <c r="J35" s="34">
        <v>1.6880000000000001E-4</v>
      </c>
      <c r="K35" s="34">
        <v>1.449E-5</v>
      </c>
      <c r="L35" s="32">
        <v>2009.691307581048</v>
      </c>
      <c r="M35" s="32">
        <v>11.599655478452</v>
      </c>
      <c r="N35" s="32">
        <v>0</v>
      </c>
      <c r="O35" s="32">
        <v>0</v>
      </c>
      <c r="P35" s="32">
        <v>4.9758885667055186E-4</v>
      </c>
      <c r="Q35" s="32">
        <v>0</v>
      </c>
      <c r="R35" s="32">
        <v>9.9517771334110372E-4</v>
      </c>
      <c r="S35" s="32">
        <v>1.9903554266822074E-3</v>
      </c>
      <c r="T35" s="32">
        <v>2.7864975973550903E-2</v>
      </c>
      <c r="U35" s="32">
        <v>4.9758885667055186E-4</v>
      </c>
      <c r="V35" s="32">
        <v>4.8514913525378808E-4</v>
      </c>
      <c r="W35" s="32">
        <v>0.10213011283163076</v>
      </c>
      <c r="X35" s="32">
        <v>3.9943945469228553E-2</v>
      </c>
      <c r="Y35" s="32">
        <v>4.7644133026205331E-3</v>
      </c>
      <c r="Z35" s="32">
        <v>2.1259483901249328E-2</v>
      </c>
      <c r="AA35" s="32">
        <v>4.3290230530338009E-3</v>
      </c>
      <c r="AB35" s="32">
        <v>1.9542802345735924E-2</v>
      </c>
      <c r="AC35" s="32">
        <v>7.8258287432861048E-2</v>
      </c>
    </row>
    <row r="36" spans="1:29" x14ac:dyDescent="0.25">
      <c r="A36" s="32">
        <v>34</v>
      </c>
      <c r="B36" s="32">
        <v>11.649885454166</v>
      </c>
      <c r="C36" s="32">
        <v>6.1305249999999996</v>
      </c>
      <c r="D36" s="32">
        <v>397.25599999999997</v>
      </c>
      <c r="E36" s="32">
        <v>46.610999999999997</v>
      </c>
      <c r="F36" s="32">
        <v>180</v>
      </c>
      <c r="G36" s="32">
        <v>0</v>
      </c>
      <c r="H36" s="32">
        <v>975</v>
      </c>
      <c r="I36" s="34">
        <v>1.7309999999999999E-2</v>
      </c>
      <c r="J36" s="34">
        <v>1.7039999999999999E-4</v>
      </c>
      <c r="K36" s="34">
        <v>1.453E-5</v>
      </c>
      <c r="L36" s="32">
        <v>2008.9177591506061</v>
      </c>
      <c r="M36" s="32">
        <v>11.649885454166</v>
      </c>
      <c r="N36" s="32">
        <v>0</v>
      </c>
      <c r="O36" s="32">
        <v>0</v>
      </c>
      <c r="P36" s="32">
        <v>0</v>
      </c>
      <c r="Q36" s="32">
        <v>0</v>
      </c>
      <c r="R36" s="32">
        <v>0</v>
      </c>
      <c r="S36" s="32">
        <v>9.9556091377559592E-4</v>
      </c>
      <c r="T36" s="32">
        <v>1.4933413706633939E-3</v>
      </c>
      <c r="U36" s="32">
        <v>0</v>
      </c>
      <c r="V36" s="32">
        <v>0</v>
      </c>
      <c r="W36" s="32">
        <v>5.9733654826535755E-3</v>
      </c>
      <c r="X36" s="32">
        <v>1.9911218275511918E-3</v>
      </c>
      <c r="Y36" s="32">
        <v>4.9778045688779796E-4</v>
      </c>
      <c r="Z36" s="32">
        <v>9.9556091377559592E-4</v>
      </c>
      <c r="AA36" s="32">
        <v>9.9556091377559592E-4</v>
      </c>
      <c r="AB36" s="32">
        <v>4.97780456887798E-3</v>
      </c>
      <c r="AC36" s="32">
        <v>1.9911218275511918E-3</v>
      </c>
    </row>
    <row r="37" spans="1:29" x14ac:dyDescent="0.25">
      <c r="A37" s="32">
        <v>35</v>
      </c>
      <c r="B37" s="32">
        <v>11.699542657568999</v>
      </c>
      <c r="C37" s="32">
        <v>27.933596999999999</v>
      </c>
      <c r="D37" s="32">
        <v>395.13099999999997</v>
      </c>
      <c r="E37" s="32">
        <v>46.685000000000002</v>
      </c>
      <c r="F37" s="32">
        <v>180</v>
      </c>
      <c r="G37" s="32">
        <v>0</v>
      </c>
      <c r="H37" s="32">
        <v>975</v>
      </c>
      <c r="I37" s="34">
        <v>1.72E-2</v>
      </c>
      <c r="J37" s="34">
        <v>1.694E-4</v>
      </c>
      <c r="K37" s="34">
        <v>1.453E-5</v>
      </c>
      <c r="L37" s="32">
        <v>1987.6597934366523</v>
      </c>
      <c r="M37" s="32">
        <v>11.699542657568999</v>
      </c>
      <c r="N37" s="32">
        <v>0</v>
      </c>
      <c r="O37" s="32">
        <v>5.0310420490571261E-4</v>
      </c>
      <c r="P37" s="32">
        <v>0</v>
      </c>
      <c r="Q37" s="32">
        <v>0</v>
      </c>
      <c r="R37" s="32">
        <v>2.0124168196228504E-3</v>
      </c>
      <c r="S37" s="32">
        <v>4.6662915005004852E-3</v>
      </c>
      <c r="T37" s="32">
        <v>1.7105542966794229E-2</v>
      </c>
      <c r="U37" s="32">
        <v>0</v>
      </c>
      <c r="V37" s="32">
        <v>0</v>
      </c>
      <c r="W37" s="32">
        <v>3.8261074783079448E-2</v>
      </c>
      <c r="X37" s="32">
        <v>3.6361856409560384E-2</v>
      </c>
      <c r="Y37" s="32">
        <v>2.8802715730852049E-3</v>
      </c>
      <c r="Z37" s="32">
        <v>4.8926883927080554E-3</v>
      </c>
      <c r="AA37" s="32">
        <v>7.3956318121139756E-3</v>
      </c>
      <c r="AB37" s="32">
        <v>2.7721041690304767E-2</v>
      </c>
      <c r="AC37" s="32">
        <v>2.4362821122559133E-2</v>
      </c>
    </row>
    <row r="38" spans="1:29" x14ac:dyDescent="0.25">
      <c r="A38" s="32">
        <v>36</v>
      </c>
      <c r="B38" s="32">
        <v>11.750000157783001</v>
      </c>
      <c r="C38" s="32">
        <v>32.352338000000003</v>
      </c>
      <c r="D38" s="32">
        <v>399.23500000000001</v>
      </c>
      <c r="E38" s="32">
        <v>46.76</v>
      </c>
      <c r="F38" s="32">
        <v>180</v>
      </c>
      <c r="G38" s="32">
        <v>0</v>
      </c>
      <c r="H38" s="32">
        <v>975</v>
      </c>
      <c r="I38" s="34">
        <v>1.7180000000000001E-2</v>
      </c>
      <c r="J38" s="34">
        <v>1.706E-4</v>
      </c>
      <c r="K38" s="34">
        <v>1.4440000000000001E-5</v>
      </c>
      <c r="L38" s="32">
        <v>1997.6261108903157</v>
      </c>
      <c r="M38" s="32">
        <v>11.750000157783001</v>
      </c>
      <c r="N38" s="32">
        <v>0</v>
      </c>
      <c r="O38" s="32">
        <v>5.0059417753320877E-4</v>
      </c>
      <c r="P38" s="32">
        <v>0</v>
      </c>
      <c r="Q38" s="32">
        <v>5.0059417753320877E-4</v>
      </c>
      <c r="R38" s="32">
        <v>0</v>
      </c>
      <c r="S38" s="32">
        <v>6.6453877067533459E-3</v>
      </c>
      <c r="T38" s="32">
        <v>1.253988414720688E-2</v>
      </c>
      <c r="U38" s="32">
        <v>0</v>
      </c>
      <c r="V38" s="32">
        <v>4.8807932309487858E-4</v>
      </c>
      <c r="W38" s="32">
        <v>2.7082145004546594E-2</v>
      </c>
      <c r="X38" s="32">
        <v>3.696888001082746E-2</v>
      </c>
      <c r="Y38" s="32">
        <v>1.5017825325996262E-3</v>
      </c>
      <c r="Z38" s="32">
        <v>6.5077243079317134E-3</v>
      </c>
      <c r="AA38" s="32">
        <v>4.3551693445389155E-3</v>
      </c>
      <c r="AB38" s="32">
        <v>2.34403223629925E-2</v>
      </c>
      <c r="AC38" s="32">
        <v>2.8746620644844512E-2</v>
      </c>
    </row>
    <row r="39" spans="1:29" x14ac:dyDescent="0.25">
      <c r="A39" s="32">
        <v>37</v>
      </c>
      <c r="B39" s="32">
        <v>11.799219101348999</v>
      </c>
      <c r="C39" s="32">
        <v>34.148355000000002</v>
      </c>
      <c r="D39" s="32">
        <v>397.113</v>
      </c>
      <c r="E39" s="32">
        <v>46.835000000000001</v>
      </c>
      <c r="F39" s="32">
        <v>180</v>
      </c>
      <c r="G39" s="32">
        <v>0</v>
      </c>
      <c r="H39" s="32">
        <v>975</v>
      </c>
      <c r="I39" s="34">
        <v>1.7139999999999999E-2</v>
      </c>
      <c r="J39" s="34">
        <v>1.684E-4</v>
      </c>
      <c r="K39" s="34">
        <v>1.456E-5</v>
      </c>
      <c r="L39" s="32">
        <v>1976.7557756623355</v>
      </c>
      <c r="M39" s="32">
        <v>11.799219101348999</v>
      </c>
      <c r="N39" s="32">
        <v>0</v>
      </c>
      <c r="O39" s="32">
        <v>0</v>
      </c>
      <c r="P39" s="32">
        <v>0</v>
      </c>
      <c r="Q39" s="32">
        <v>0</v>
      </c>
      <c r="R39" s="32">
        <v>1.517638160938123E-3</v>
      </c>
      <c r="S39" s="32">
        <v>1.1268463344965564E-2</v>
      </c>
      <c r="T39" s="32">
        <v>1.2406691965669157E-2</v>
      </c>
      <c r="U39" s="32">
        <v>0</v>
      </c>
      <c r="V39" s="32">
        <v>1.0117587739587488E-3</v>
      </c>
      <c r="W39" s="32">
        <v>4.2013283088637041E-2</v>
      </c>
      <c r="X39" s="32">
        <v>4.6465021694055537E-2</v>
      </c>
      <c r="Y39" s="32">
        <v>1.302639421471889E-3</v>
      </c>
      <c r="Z39" s="32">
        <v>1.3152864061463734E-2</v>
      </c>
      <c r="AA39" s="32">
        <v>9.1058289656287383E-3</v>
      </c>
      <c r="AB39" s="32">
        <v>3.1642755655559865E-2</v>
      </c>
      <c r="AC39" s="32">
        <v>2.6811607509906844E-2</v>
      </c>
    </row>
    <row r="40" spans="1:29" x14ac:dyDescent="0.25">
      <c r="A40" s="32">
        <v>38</v>
      </c>
      <c r="B40" s="32">
        <v>11.849751466787</v>
      </c>
      <c r="C40" s="32">
        <v>0.48872199999999999</v>
      </c>
      <c r="D40" s="32">
        <v>395.02</v>
      </c>
      <c r="E40" s="32">
        <v>46.908999999999999</v>
      </c>
      <c r="F40" s="32">
        <v>180</v>
      </c>
      <c r="G40" s="32">
        <v>0</v>
      </c>
      <c r="H40" s="32">
        <v>975</v>
      </c>
      <c r="I40" s="34">
        <v>1.6879999999999999E-2</v>
      </c>
      <c r="J40" s="34">
        <v>1.716E-4</v>
      </c>
      <c r="K40" s="34">
        <v>1.4620000000000001E-5</v>
      </c>
      <c r="L40" s="32">
        <v>1955.9753864764341</v>
      </c>
      <c r="M40" s="32">
        <v>11.849751466787</v>
      </c>
      <c r="N40" s="32">
        <v>0</v>
      </c>
      <c r="O40" s="32">
        <v>0</v>
      </c>
      <c r="P40" s="32">
        <v>0</v>
      </c>
      <c r="Q40" s="32">
        <v>0</v>
      </c>
      <c r="R40" s="32">
        <v>0</v>
      </c>
      <c r="S40" s="32">
        <v>0</v>
      </c>
      <c r="T40" s="32">
        <v>5.1125387717758386E-4</v>
      </c>
      <c r="U40" s="32">
        <v>0</v>
      </c>
      <c r="V40" s="32">
        <v>0</v>
      </c>
      <c r="W40" s="32">
        <v>1.0225077543551677E-3</v>
      </c>
      <c r="X40" s="32">
        <v>0</v>
      </c>
      <c r="Y40" s="32">
        <v>0</v>
      </c>
      <c r="Z40" s="32">
        <v>0</v>
      </c>
      <c r="AA40" s="32">
        <v>5.1125387717758386E-4</v>
      </c>
      <c r="AB40" s="32">
        <v>5.1125387717758386E-4</v>
      </c>
      <c r="AC40" s="32">
        <v>0</v>
      </c>
    </row>
    <row r="41" spans="1:29" x14ac:dyDescent="0.25">
      <c r="A41" s="32">
        <v>39</v>
      </c>
      <c r="B41" s="32">
        <v>11.899261733971001</v>
      </c>
      <c r="C41" s="32">
        <v>9.8720800000000004</v>
      </c>
      <c r="D41" s="32">
        <v>399.17500000000001</v>
      </c>
      <c r="E41" s="32">
        <v>46.981999999999999</v>
      </c>
      <c r="F41" s="32">
        <v>180</v>
      </c>
      <c r="G41" s="32">
        <v>0</v>
      </c>
      <c r="H41" s="32">
        <v>975</v>
      </c>
      <c r="I41" s="34">
        <v>1.7309999999999999E-2</v>
      </c>
      <c r="J41" s="34">
        <v>1.682E-4</v>
      </c>
      <c r="K41" s="34">
        <v>1.4630000000000001E-5</v>
      </c>
      <c r="L41" s="32">
        <v>1966.3966838707456</v>
      </c>
      <c r="M41" s="32">
        <v>11.899261733971001</v>
      </c>
      <c r="N41" s="32">
        <v>0</v>
      </c>
      <c r="O41" s="32">
        <v>0</v>
      </c>
      <c r="P41" s="32">
        <v>0</v>
      </c>
      <c r="Q41" s="32">
        <v>0</v>
      </c>
      <c r="R41" s="32">
        <v>2.0341775557341851E-3</v>
      </c>
      <c r="S41" s="32">
        <v>1.3870548208162473E-2</v>
      </c>
      <c r="T41" s="32">
        <v>7.8951516381933051E-3</v>
      </c>
      <c r="U41" s="32">
        <v>0</v>
      </c>
      <c r="V41" s="32">
        <v>1.5256331668006386E-3</v>
      </c>
      <c r="W41" s="32">
        <v>3.2063723722260087E-2</v>
      </c>
      <c r="X41" s="32">
        <v>2.0557906922638605E-2</v>
      </c>
      <c r="Y41" s="32">
        <v>2.0341775557341851E-3</v>
      </c>
      <c r="Z41" s="32">
        <v>1.6781964834807025E-2</v>
      </c>
      <c r="AA41" s="32">
        <v>5.4414249615889441E-3</v>
      </c>
      <c r="AB41" s="32">
        <v>1.4239242890139295E-2</v>
      </c>
      <c r="AC41" s="32">
        <v>2.4333849010470188E-2</v>
      </c>
    </row>
    <row r="42" spans="1:29" x14ac:dyDescent="0.25">
      <c r="A42" s="32">
        <v>40</v>
      </c>
      <c r="B42" s="32">
        <v>11.94929831987</v>
      </c>
      <c r="C42" s="32">
        <v>18.292543999999999</v>
      </c>
      <c r="D42" s="32">
        <v>397.06299999999999</v>
      </c>
      <c r="E42" s="32">
        <v>47.055999999999997</v>
      </c>
      <c r="F42" s="32">
        <v>180</v>
      </c>
      <c r="G42" s="32">
        <v>0</v>
      </c>
      <c r="H42" s="32">
        <v>975</v>
      </c>
      <c r="I42" s="34">
        <v>1.7270000000000001E-2</v>
      </c>
      <c r="J42" s="34">
        <v>1.6860000000000001E-4</v>
      </c>
      <c r="K42" s="34">
        <v>1.455E-5</v>
      </c>
      <c r="L42" s="32">
        <v>1945.8913315255215</v>
      </c>
      <c r="M42" s="32">
        <v>11.94929831987</v>
      </c>
      <c r="N42" s="32">
        <v>0</v>
      </c>
      <c r="O42" s="32">
        <v>0</v>
      </c>
      <c r="P42" s="32">
        <v>0</v>
      </c>
      <c r="Q42" s="32">
        <v>1.0278066239351911E-3</v>
      </c>
      <c r="R42" s="32">
        <v>0</v>
      </c>
      <c r="S42" s="32">
        <v>1.3644132932739663E-2</v>
      </c>
      <c r="T42" s="32">
        <v>7.2203415331447175E-3</v>
      </c>
      <c r="U42" s="32">
        <v>0</v>
      </c>
      <c r="V42" s="32">
        <v>0</v>
      </c>
      <c r="W42" s="32">
        <v>2.8804280635783729E-2</v>
      </c>
      <c r="X42" s="32">
        <v>3.4431521901828903E-2</v>
      </c>
      <c r="Y42" s="32">
        <v>2.8650109642193453E-3</v>
      </c>
      <c r="Z42" s="32">
        <v>1.3451419190751815E-2</v>
      </c>
      <c r="AA42" s="32">
        <v>7.7085496795139333E-3</v>
      </c>
      <c r="AB42" s="32">
        <v>2.9433812192944036E-2</v>
      </c>
      <c r="AC42" s="32">
        <v>2.7159790037487426E-2</v>
      </c>
    </row>
    <row r="43" spans="1:29" x14ac:dyDescent="0.25">
      <c r="A43" s="32">
        <v>41</v>
      </c>
      <c r="B43" s="32">
        <v>12.000120845152001</v>
      </c>
      <c r="C43" s="32">
        <v>24.082515000000001</v>
      </c>
      <c r="D43" s="32">
        <v>395.04199999999997</v>
      </c>
      <c r="E43" s="32">
        <v>47.13</v>
      </c>
      <c r="F43" s="32">
        <v>180</v>
      </c>
      <c r="G43" s="32">
        <v>0</v>
      </c>
      <c r="H43" s="32">
        <v>975</v>
      </c>
      <c r="I43" s="34">
        <v>1.7180000000000001E-2</v>
      </c>
      <c r="J43" s="34">
        <v>1.6899999999999999E-4</v>
      </c>
      <c r="K43" s="34">
        <v>1.449E-5</v>
      </c>
      <c r="L43" s="32">
        <v>1925.8849363470276</v>
      </c>
      <c r="M43" s="32">
        <v>12.000120845152001</v>
      </c>
      <c r="N43" s="32">
        <v>0</v>
      </c>
      <c r="O43" s="32">
        <v>0</v>
      </c>
      <c r="P43" s="32">
        <v>0</v>
      </c>
      <c r="Q43" s="32">
        <v>5.1924182028069443E-4</v>
      </c>
      <c r="R43" s="32">
        <v>1.0384836405613889E-3</v>
      </c>
      <c r="S43" s="32">
        <v>2.2327398272069861E-2</v>
      </c>
      <c r="T43" s="32">
        <v>1.1942561866455972E-2</v>
      </c>
      <c r="U43" s="32">
        <v>5.1924182028069443E-4</v>
      </c>
      <c r="V43" s="32">
        <v>1.5447444153350661E-3</v>
      </c>
      <c r="W43" s="32">
        <v>3.0635267396560972E-2</v>
      </c>
      <c r="X43" s="32">
        <v>4.405766845081692E-2</v>
      </c>
      <c r="Y43" s="32">
        <v>2.0769672811227777E-3</v>
      </c>
      <c r="Z43" s="32">
        <v>1.5810913427547146E-2</v>
      </c>
      <c r="AA43" s="32">
        <v>1.3863756601494541E-2</v>
      </c>
      <c r="AB43" s="32">
        <v>3.6113268600522296E-2</v>
      </c>
      <c r="AC43" s="32">
        <v>2.410580150653124E-2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5357" r:id="rId3" name="ScaleDefault">
          <controlPr defaultSize="0" print="0" autoLine="0" r:id="rId4">
            <anchor moveWithCells="1">
              <from>
                <xdr:col>14</xdr:col>
                <xdr:colOff>457200</xdr:colOff>
                <xdr:row>18</xdr:row>
                <xdr:rowOff>123825</xdr:rowOff>
              </from>
              <to>
                <xdr:col>15</xdr:col>
                <xdr:colOff>276225</xdr:colOff>
                <xdr:row>20</xdr:row>
                <xdr:rowOff>19050</xdr:rowOff>
              </to>
            </anchor>
          </controlPr>
        </control>
      </mc:Choice>
      <mc:Fallback>
        <control shapeId="185357" r:id="rId3" name="ScaleDefault"/>
      </mc:Fallback>
    </mc:AlternateContent>
    <mc:AlternateContent xmlns:mc="http://schemas.openxmlformats.org/markup-compatibility/2006">
      <mc:Choice Requires="x14">
        <control shapeId="185356" r:id="rId5" name="ScaleYes">
          <controlPr defaultSize="0" print="0" autoLine="0" r:id="rId6">
            <anchor moveWithCells="1">
              <from>
                <xdr:col>13</xdr:col>
                <xdr:colOff>552450</xdr:colOff>
                <xdr:row>18</xdr:row>
                <xdr:rowOff>123825</xdr:rowOff>
              </from>
              <to>
                <xdr:col>14</xdr:col>
                <xdr:colOff>381000</xdr:colOff>
                <xdr:row>20</xdr:row>
                <xdr:rowOff>19050</xdr:rowOff>
              </to>
            </anchor>
          </controlPr>
        </control>
      </mc:Choice>
      <mc:Fallback>
        <control shapeId="185356" r:id="rId5" name="ScaleYes"/>
      </mc:Fallback>
    </mc:AlternateContent>
    <mc:AlternateContent xmlns:mc="http://schemas.openxmlformats.org/markup-compatibility/2006">
      <mc:Choice Requires="x14">
        <control shapeId="185355" r:id="rId7" name="YScaleMax">
          <controlPr defaultSize="0" print="0" autoLine="0" r:id="rId8">
            <anchor moveWithCells="1">
              <from>
                <xdr:col>14</xdr:col>
                <xdr:colOff>247650</xdr:colOff>
                <xdr:row>17</xdr:row>
                <xdr:rowOff>9525</xdr:rowOff>
              </from>
              <to>
                <xdr:col>15</xdr:col>
                <xdr:colOff>276225</xdr:colOff>
                <xdr:row>18</xdr:row>
                <xdr:rowOff>47625</xdr:rowOff>
              </to>
            </anchor>
          </controlPr>
        </control>
      </mc:Choice>
      <mc:Fallback>
        <control shapeId="185355" r:id="rId7" name="YScaleMax"/>
      </mc:Fallback>
    </mc:AlternateContent>
    <mc:AlternateContent xmlns:mc="http://schemas.openxmlformats.org/markup-compatibility/2006">
      <mc:Choice Requires="x14">
        <control shapeId="185354" r:id="rId9" name="YScaleMin">
          <controlPr defaultSize="0" print="0" autoLine="0" r:id="rId10">
            <anchor moveWithCells="1">
              <from>
                <xdr:col>12</xdr:col>
                <xdr:colOff>533400</xdr:colOff>
                <xdr:row>17</xdr:row>
                <xdr:rowOff>9525</xdr:rowOff>
              </from>
              <to>
                <xdr:col>13</xdr:col>
                <xdr:colOff>552450</xdr:colOff>
                <xdr:row>18</xdr:row>
                <xdr:rowOff>47625</xdr:rowOff>
              </to>
            </anchor>
          </controlPr>
        </control>
      </mc:Choice>
      <mc:Fallback>
        <control shapeId="185354" r:id="rId9" name="YScaleMin"/>
      </mc:Fallback>
    </mc:AlternateContent>
    <mc:AlternateContent xmlns:mc="http://schemas.openxmlformats.org/markup-compatibility/2006">
      <mc:Choice Requires="x14">
        <control shapeId="185353" r:id="rId11" name="Label4">
          <controlPr defaultSize="0" print="0" autoLine="0" r:id="rId12">
            <anchor moveWithCells="1">
              <from>
                <xdr:col>13</xdr:col>
                <xdr:colOff>571500</xdr:colOff>
                <xdr:row>17</xdr:row>
                <xdr:rowOff>38100</xdr:rowOff>
              </from>
              <to>
                <xdr:col>14</xdr:col>
                <xdr:colOff>238125</xdr:colOff>
                <xdr:row>18</xdr:row>
                <xdr:rowOff>76200</xdr:rowOff>
              </to>
            </anchor>
          </controlPr>
        </control>
      </mc:Choice>
      <mc:Fallback>
        <control shapeId="185353" r:id="rId11" name="Label4"/>
      </mc:Fallback>
    </mc:AlternateContent>
    <mc:AlternateContent xmlns:mc="http://schemas.openxmlformats.org/markup-compatibility/2006">
      <mc:Choice Requires="x14">
        <control shapeId="185352" r:id="rId13" name="YScaleLogarithmic">
          <controlPr defaultSize="0" print="0" autoLine="0" r:id="rId14">
            <anchor moveWithCells="1">
              <from>
                <xdr:col>14</xdr:col>
                <xdr:colOff>161925</xdr:colOff>
                <xdr:row>15</xdr:row>
                <xdr:rowOff>161925</xdr:rowOff>
              </from>
              <to>
                <xdr:col>15</xdr:col>
                <xdr:colOff>342900</xdr:colOff>
                <xdr:row>17</xdr:row>
                <xdr:rowOff>9525</xdr:rowOff>
              </to>
            </anchor>
          </controlPr>
        </control>
      </mc:Choice>
      <mc:Fallback>
        <control shapeId="185352" r:id="rId13" name="YScaleLogarithmic"/>
      </mc:Fallback>
    </mc:AlternateContent>
    <mc:AlternateContent xmlns:mc="http://schemas.openxmlformats.org/markup-compatibility/2006">
      <mc:Choice Requires="x14">
        <control shapeId="185351" r:id="rId15" name="Label3">
          <controlPr defaultSize="0" print="0" autoLine="0" r:id="rId16">
            <anchor moveWithCells="1">
              <from>
                <xdr:col>13</xdr:col>
                <xdr:colOff>47625</xdr:colOff>
                <xdr:row>16</xdr:row>
                <xdr:rowOff>0</xdr:rowOff>
              </from>
              <to>
                <xdr:col>14</xdr:col>
                <xdr:colOff>76200</xdr:colOff>
                <xdr:row>17</xdr:row>
                <xdr:rowOff>38100</xdr:rowOff>
              </to>
            </anchor>
          </controlPr>
        </control>
      </mc:Choice>
      <mc:Fallback>
        <control shapeId="185351" r:id="rId15" name="Label3"/>
      </mc:Fallback>
    </mc:AlternateContent>
    <mc:AlternateContent xmlns:mc="http://schemas.openxmlformats.org/markup-compatibility/2006">
      <mc:Choice Requires="x14">
        <control shapeId="185350" r:id="rId17" name="XScaleMax">
          <controlPr defaultSize="0" print="0" autoLine="0" r:id="rId18">
            <anchor moveWithCells="1">
              <from>
                <xdr:col>14</xdr:col>
                <xdr:colOff>247650</xdr:colOff>
                <xdr:row>14</xdr:row>
                <xdr:rowOff>76200</xdr:rowOff>
              </from>
              <to>
                <xdr:col>15</xdr:col>
                <xdr:colOff>276225</xdr:colOff>
                <xdr:row>15</xdr:row>
                <xdr:rowOff>114300</xdr:rowOff>
              </to>
            </anchor>
          </controlPr>
        </control>
      </mc:Choice>
      <mc:Fallback>
        <control shapeId="185350" r:id="rId17" name="XScaleMax"/>
      </mc:Fallback>
    </mc:AlternateContent>
    <mc:AlternateContent xmlns:mc="http://schemas.openxmlformats.org/markup-compatibility/2006">
      <mc:Choice Requires="x14">
        <control shapeId="185349" r:id="rId19" name="XScaleMin">
          <controlPr defaultSize="0" print="0" autoLine="0" r:id="rId20">
            <anchor moveWithCells="1">
              <from>
                <xdr:col>12</xdr:col>
                <xdr:colOff>533400</xdr:colOff>
                <xdr:row>14</xdr:row>
                <xdr:rowOff>76200</xdr:rowOff>
              </from>
              <to>
                <xdr:col>13</xdr:col>
                <xdr:colOff>552450</xdr:colOff>
                <xdr:row>15</xdr:row>
                <xdr:rowOff>114300</xdr:rowOff>
              </to>
            </anchor>
          </controlPr>
        </control>
      </mc:Choice>
      <mc:Fallback>
        <control shapeId="185349" r:id="rId19" name="XScaleMin"/>
      </mc:Fallback>
    </mc:AlternateContent>
    <mc:AlternateContent xmlns:mc="http://schemas.openxmlformats.org/markup-compatibility/2006">
      <mc:Choice Requires="x14">
        <control shapeId="185348" r:id="rId21" name="Label2">
          <controlPr defaultSize="0" print="0" autoLine="0" r:id="rId22">
            <anchor moveWithCells="1">
              <from>
                <xdr:col>13</xdr:col>
                <xdr:colOff>571500</xdr:colOff>
                <xdr:row>14</xdr:row>
                <xdr:rowOff>95250</xdr:rowOff>
              </from>
              <to>
                <xdr:col>14</xdr:col>
                <xdr:colOff>238125</xdr:colOff>
                <xdr:row>15</xdr:row>
                <xdr:rowOff>133350</xdr:rowOff>
              </to>
            </anchor>
          </controlPr>
        </control>
      </mc:Choice>
      <mc:Fallback>
        <control shapeId="185348" r:id="rId21" name="Label2"/>
      </mc:Fallback>
    </mc:AlternateContent>
    <mc:AlternateContent xmlns:mc="http://schemas.openxmlformats.org/markup-compatibility/2006">
      <mc:Choice Requires="x14">
        <control shapeId="185347" r:id="rId23" name="Label1">
          <controlPr defaultSize="0" print="0" autoLine="0" r:id="rId24">
            <anchor moveWithCells="1">
              <from>
                <xdr:col>13</xdr:col>
                <xdr:colOff>390525</xdr:colOff>
                <xdr:row>13</xdr:row>
                <xdr:rowOff>57150</xdr:rowOff>
              </from>
              <to>
                <xdr:col>14</xdr:col>
                <xdr:colOff>419100</xdr:colOff>
                <xdr:row>14</xdr:row>
                <xdr:rowOff>95250</xdr:rowOff>
              </to>
            </anchor>
          </controlPr>
        </control>
      </mc:Choice>
      <mc:Fallback>
        <control shapeId="185347" r:id="rId23" name="Label1"/>
      </mc:Fallback>
    </mc:AlternateContent>
    <mc:AlternateContent xmlns:mc="http://schemas.openxmlformats.org/markup-compatibility/2006">
      <mc:Choice Requires="x14">
        <control shapeId="185346" r:id="rId25" name="FmlListBox">
          <controlPr defaultSize="0" print="0" autoLine="0" r:id="rId26">
            <anchor moveWithCells="1">
              <from>
                <xdr:col>12</xdr:col>
                <xdr:colOff>428625</xdr:colOff>
                <xdr:row>4</xdr:row>
                <xdr:rowOff>76200</xdr:rowOff>
              </from>
              <to>
                <xdr:col>15</xdr:col>
                <xdr:colOff>381000</xdr:colOff>
                <xdr:row>13</xdr:row>
                <xdr:rowOff>19050</xdr:rowOff>
              </to>
            </anchor>
          </controlPr>
        </control>
      </mc:Choice>
      <mc:Fallback>
        <control shapeId="185346" r:id="rId25" name="FmlListBox"/>
      </mc:Fallback>
    </mc:AlternateContent>
    <mc:AlternateContent xmlns:mc="http://schemas.openxmlformats.org/markup-compatibility/2006">
      <mc:Choice Requires="x14">
        <control shapeId="185345" r:id="rId27" name="RngCopy">
          <controlPr defaultSize="0" print="0" autoLine="0" r:id="rId28">
            <anchor moveWithCells="1">
              <from>
                <xdr:col>0</xdr:col>
                <xdr:colOff>581025</xdr:colOff>
                <xdr:row>2</xdr:row>
                <xdr:rowOff>152400</xdr:rowOff>
              </from>
              <to>
                <xdr:col>3</xdr:col>
                <xdr:colOff>19050</xdr:colOff>
                <xdr:row>4</xdr:row>
                <xdr:rowOff>47625</xdr:rowOff>
              </to>
            </anchor>
          </controlPr>
        </control>
      </mc:Choice>
      <mc:Fallback>
        <control shapeId="185345" r:id="rId27" name="RngCop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AC10"/>
  <sheetViews>
    <sheetView workbookViewId="0"/>
  </sheetViews>
  <sheetFormatPr defaultRowHeight="15" x14ac:dyDescent="0.25"/>
  <cols>
    <col min="1" max="16384" width="9.140625" style="32"/>
  </cols>
  <sheetData>
    <row r="1" spans="1:29" x14ac:dyDescent="0.25">
      <c r="A1" s="32" t="s">
        <v>65</v>
      </c>
      <c r="B1" s="32" t="s">
        <v>29</v>
      </c>
      <c r="M1" s="32" t="s">
        <v>30</v>
      </c>
      <c r="N1" s="32" t="s">
        <v>42</v>
      </c>
      <c r="O1" s="32" t="s">
        <v>45</v>
      </c>
      <c r="P1" s="32" t="s">
        <v>27</v>
      </c>
      <c r="Q1" s="32" t="s">
        <v>44</v>
      </c>
      <c r="V1" s="32" t="s">
        <v>28</v>
      </c>
    </row>
    <row r="2" spans="1:29" x14ac:dyDescent="0.25">
      <c r="A2" s="32" t="s">
        <v>31</v>
      </c>
      <c r="B2" s="32" t="s">
        <v>32</v>
      </c>
      <c r="C2" s="32" t="s">
        <v>33</v>
      </c>
      <c r="D2" s="32" t="s">
        <v>34</v>
      </c>
      <c r="E2" s="32" t="s">
        <v>35</v>
      </c>
      <c r="F2" s="32" t="s">
        <v>36</v>
      </c>
      <c r="G2" s="32" t="s">
        <v>37</v>
      </c>
      <c r="H2" s="32" t="s">
        <v>22</v>
      </c>
      <c r="I2" s="32" t="s">
        <v>38</v>
      </c>
      <c r="J2" s="32" t="s">
        <v>39</v>
      </c>
      <c r="K2" s="32" t="s">
        <v>40</v>
      </c>
      <c r="L2" s="32" t="s">
        <v>41</v>
      </c>
      <c r="M2" s="32" t="s">
        <v>32</v>
      </c>
      <c r="N2" s="32">
        <v>18.001999999999999</v>
      </c>
      <c r="O2" s="32">
        <v>27.988</v>
      </c>
      <c r="P2" s="32">
        <v>31.98</v>
      </c>
      <c r="Q2" s="32">
        <v>43.985999999999997</v>
      </c>
      <c r="R2" s="32">
        <v>44.98</v>
      </c>
      <c r="S2" s="32">
        <v>49.987000000000002</v>
      </c>
      <c r="T2" s="32">
        <v>69.076999999999998</v>
      </c>
      <c r="U2" s="32">
        <v>77.986000000000004</v>
      </c>
      <c r="V2" s="32">
        <v>83.88</v>
      </c>
      <c r="W2" s="32">
        <v>99.974000000000004</v>
      </c>
      <c r="X2" s="32">
        <v>112.093</v>
      </c>
      <c r="Y2" s="32">
        <v>118.967</v>
      </c>
      <c r="Z2" s="32">
        <v>130.96100000000001</v>
      </c>
      <c r="AA2" s="32">
        <v>148.97999999999999</v>
      </c>
      <c r="AB2" s="32">
        <v>167.01599999999999</v>
      </c>
      <c r="AC2" s="32">
        <v>249.917</v>
      </c>
    </row>
    <row r="3" spans="1:29" x14ac:dyDescent="0.25">
      <c r="A3" s="32">
        <v>1</v>
      </c>
      <c r="B3" s="32">
        <v>8.9999897437360001</v>
      </c>
      <c r="C3" s="32">
        <v>44.536718</v>
      </c>
      <c r="D3" s="32">
        <v>396.70299999999997</v>
      </c>
      <c r="E3" s="32">
        <v>42.284999999999997</v>
      </c>
      <c r="F3" s="32">
        <v>270</v>
      </c>
      <c r="G3" s="32">
        <v>0</v>
      </c>
      <c r="H3" s="32">
        <v>200</v>
      </c>
      <c r="I3" s="34">
        <v>1.7409999999999998E-2</v>
      </c>
      <c r="J3" s="34">
        <v>1.7100000000000001E-4</v>
      </c>
      <c r="K3" s="34">
        <v>1.446E-5</v>
      </c>
      <c r="L3" s="32">
        <v>2748.8901124509639</v>
      </c>
      <c r="M3" s="32">
        <v>8.9999897437360001</v>
      </c>
      <c r="N3" s="32">
        <v>0</v>
      </c>
      <c r="O3" s="32">
        <v>0</v>
      </c>
      <c r="P3" s="32">
        <v>0</v>
      </c>
      <c r="Q3" s="32">
        <v>0</v>
      </c>
      <c r="R3" s="32">
        <v>0</v>
      </c>
      <c r="S3" s="32">
        <v>0</v>
      </c>
      <c r="T3" s="32">
        <v>0</v>
      </c>
      <c r="U3" s="32">
        <v>0</v>
      </c>
      <c r="V3" s="32">
        <v>3.6378318488270909E-4</v>
      </c>
      <c r="W3" s="32">
        <v>0</v>
      </c>
      <c r="X3" s="32">
        <v>0</v>
      </c>
      <c r="Y3" s="32">
        <v>0</v>
      </c>
      <c r="Z3" s="32">
        <v>1.0913495546481273E-3</v>
      </c>
      <c r="AA3" s="32">
        <v>0</v>
      </c>
      <c r="AB3" s="32">
        <v>0</v>
      </c>
      <c r="AC3" s="32">
        <v>0</v>
      </c>
    </row>
    <row r="4" spans="1:29" x14ac:dyDescent="0.25">
      <c r="A4" s="32">
        <v>2</v>
      </c>
      <c r="B4" s="32">
        <v>9.0498997713300007</v>
      </c>
      <c r="C4" s="32">
        <v>40.742685000000002</v>
      </c>
      <c r="D4" s="32">
        <v>401.00299999999999</v>
      </c>
      <c r="E4" s="32">
        <v>42.374000000000002</v>
      </c>
      <c r="F4" s="32">
        <v>270</v>
      </c>
      <c r="G4" s="32">
        <v>0</v>
      </c>
      <c r="H4" s="32">
        <v>200</v>
      </c>
      <c r="I4" s="34">
        <v>1.754E-2</v>
      </c>
      <c r="J4" s="34">
        <v>1.716E-4</v>
      </c>
      <c r="K4" s="34">
        <v>1.451E-5</v>
      </c>
      <c r="L4" s="32">
        <v>2767.9103212435462</v>
      </c>
      <c r="M4" s="32">
        <v>9.0498997713300007</v>
      </c>
      <c r="N4" s="32">
        <v>0</v>
      </c>
      <c r="O4" s="32">
        <v>0</v>
      </c>
      <c r="P4" s="32">
        <v>0</v>
      </c>
      <c r="Q4" s="32">
        <v>0</v>
      </c>
      <c r="R4" s="32">
        <v>3.6128338130215413E-4</v>
      </c>
      <c r="S4" s="32">
        <v>0</v>
      </c>
      <c r="T4" s="32">
        <v>0</v>
      </c>
      <c r="U4" s="32">
        <v>0</v>
      </c>
      <c r="V4" s="32">
        <v>0</v>
      </c>
      <c r="W4" s="32">
        <v>0</v>
      </c>
      <c r="X4" s="32">
        <v>1.5354543705341551E-4</v>
      </c>
      <c r="Y4" s="32">
        <v>0</v>
      </c>
      <c r="Z4" s="32">
        <v>2.1677002878129248E-3</v>
      </c>
      <c r="AA4" s="32">
        <v>0</v>
      </c>
      <c r="AB4" s="32">
        <v>0</v>
      </c>
      <c r="AC4" s="32">
        <v>0</v>
      </c>
    </row>
    <row r="5" spans="1:29" x14ac:dyDescent="0.25">
      <c r="A5" s="32">
        <v>3</v>
      </c>
      <c r="B5" s="32">
        <v>9.0999967393749994</v>
      </c>
      <c r="C5" s="32">
        <v>37.063296000000001</v>
      </c>
      <c r="D5" s="32">
        <v>398.036</v>
      </c>
      <c r="E5" s="32">
        <v>42.465000000000003</v>
      </c>
      <c r="F5" s="32">
        <v>270</v>
      </c>
      <c r="G5" s="32">
        <v>0</v>
      </c>
      <c r="H5" s="32">
        <v>200</v>
      </c>
      <c r="I5" s="34">
        <v>1.7520000000000001E-2</v>
      </c>
      <c r="J5" s="34">
        <v>1.718E-4</v>
      </c>
      <c r="K5" s="34">
        <v>1.4630000000000001E-5</v>
      </c>
      <c r="L5" s="32">
        <v>2736.7775165020857</v>
      </c>
      <c r="M5" s="32">
        <v>9.0999967393749994</v>
      </c>
      <c r="N5" s="32">
        <v>0</v>
      </c>
      <c r="O5" s="32">
        <v>0</v>
      </c>
      <c r="P5" s="32">
        <v>0</v>
      </c>
      <c r="Q5" s="32">
        <v>0</v>
      </c>
      <c r="R5" s="32">
        <v>3.6539323856990547E-4</v>
      </c>
      <c r="S5" s="32">
        <v>0</v>
      </c>
      <c r="T5" s="32">
        <v>0</v>
      </c>
      <c r="U5" s="32">
        <v>0</v>
      </c>
      <c r="V5" s="32">
        <v>0</v>
      </c>
      <c r="W5" s="32">
        <v>3.6539323856990547E-4</v>
      </c>
      <c r="X5" s="32">
        <v>3.6539323856990547E-4</v>
      </c>
      <c r="Y5" s="32">
        <v>0</v>
      </c>
      <c r="Z5" s="32">
        <v>3.2885391471291492E-3</v>
      </c>
      <c r="AA5" s="32">
        <v>0</v>
      </c>
      <c r="AB5" s="32">
        <v>0</v>
      </c>
      <c r="AC5" s="32">
        <v>0</v>
      </c>
    </row>
    <row r="6" spans="1:29" x14ac:dyDescent="0.25">
      <c r="A6" s="32">
        <v>4</v>
      </c>
      <c r="B6" s="32">
        <v>9.1498388581590007</v>
      </c>
      <c r="C6" s="32">
        <v>32.574160999999997</v>
      </c>
      <c r="D6" s="32">
        <v>395.12200000000001</v>
      </c>
      <c r="E6" s="32">
        <v>42.554000000000002</v>
      </c>
      <c r="F6" s="32">
        <v>270</v>
      </c>
      <c r="G6" s="32">
        <v>0</v>
      </c>
      <c r="H6" s="32">
        <v>200</v>
      </c>
      <c r="I6" s="34">
        <v>1.7389999999999999E-2</v>
      </c>
      <c r="J6" s="34">
        <v>1.739E-4</v>
      </c>
      <c r="K6" s="34">
        <v>1.4579999999999999E-5</v>
      </c>
      <c r="L6" s="32">
        <v>2706.3013958266342</v>
      </c>
      <c r="M6" s="32">
        <v>9.1498388581590007</v>
      </c>
      <c r="N6" s="32">
        <v>0</v>
      </c>
      <c r="O6" s="32">
        <v>0</v>
      </c>
      <c r="P6" s="32">
        <v>0</v>
      </c>
      <c r="Q6" s="32">
        <v>0</v>
      </c>
      <c r="R6" s="32">
        <v>0</v>
      </c>
      <c r="S6" s="32">
        <v>0</v>
      </c>
      <c r="T6" s="32">
        <v>0</v>
      </c>
      <c r="U6" s="32">
        <v>0</v>
      </c>
      <c r="V6" s="32">
        <v>0</v>
      </c>
      <c r="W6" s="32">
        <v>0</v>
      </c>
      <c r="X6" s="32">
        <v>3.6950799402538537E-4</v>
      </c>
      <c r="Y6" s="32">
        <v>0</v>
      </c>
      <c r="Z6" s="32">
        <v>2.956063952203083E-3</v>
      </c>
      <c r="AA6" s="32">
        <v>0</v>
      </c>
      <c r="AB6" s="32">
        <v>0</v>
      </c>
      <c r="AC6" s="32">
        <v>0</v>
      </c>
    </row>
    <row r="7" spans="1:29" x14ac:dyDescent="0.25">
      <c r="A7" s="32">
        <v>5</v>
      </c>
      <c r="B7" s="32">
        <v>9.1995071281970002</v>
      </c>
      <c r="C7" s="32">
        <v>29.567101999999998</v>
      </c>
      <c r="D7" s="32">
        <v>397.33800000000002</v>
      </c>
      <c r="E7" s="32">
        <v>42.642000000000003</v>
      </c>
      <c r="F7" s="32">
        <v>270</v>
      </c>
      <c r="G7" s="32">
        <v>0</v>
      </c>
      <c r="H7" s="32">
        <v>200</v>
      </c>
      <c r="I7" s="34">
        <v>1.7479999999999999E-2</v>
      </c>
      <c r="J7" s="34">
        <v>1.7249999999999999E-4</v>
      </c>
      <c r="K7" s="34">
        <v>1.4620000000000001E-5</v>
      </c>
      <c r="L7" s="32">
        <v>2698.2624347592696</v>
      </c>
      <c r="M7" s="32">
        <v>9.1995071281970002</v>
      </c>
      <c r="N7" s="32">
        <v>0</v>
      </c>
      <c r="O7" s="32">
        <v>0</v>
      </c>
      <c r="P7" s="32">
        <v>3.7060887299838086E-4</v>
      </c>
      <c r="Q7" s="32">
        <v>0</v>
      </c>
      <c r="R7" s="32">
        <v>7.4121774599676172E-4</v>
      </c>
      <c r="S7" s="32">
        <v>1.0191744007455474E-4</v>
      </c>
      <c r="T7" s="32">
        <v>0</v>
      </c>
      <c r="U7" s="32">
        <v>0</v>
      </c>
      <c r="V7" s="32">
        <v>0</v>
      </c>
      <c r="W7" s="32">
        <v>0</v>
      </c>
      <c r="X7" s="32">
        <v>7.4121774599676172E-4</v>
      </c>
      <c r="Y7" s="32">
        <v>0</v>
      </c>
      <c r="Z7" s="32">
        <v>1.8530443649919042E-3</v>
      </c>
      <c r="AA7" s="32">
        <v>3.7060887299838086E-4</v>
      </c>
      <c r="AB7" s="32">
        <v>0</v>
      </c>
      <c r="AC7" s="32">
        <v>0</v>
      </c>
    </row>
    <row r="8" spans="1:29" x14ac:dyDescent="0.25">
      <c r="A8" s="32">
        <v>6</v>
      </c>
      <c r="B8" s="32">
        <v>9.2496179326700005</v>
      </c>
      <c r="C8" s="32">
        <v>26.61082</v>
      </c>
      <c r="D8" s="32">
        <v>400.142</v>
      </c>
      <c r="E8" s="32">
        <v>42.73</v>
      </c>
      <c r="F8" s="32">
        <v>270</v>
      </c>
      <c r="G8" s="32">
        <v>0</v>
      </c>
      <c r="H8" s="32">
        <v>200</v>
      </c>
      <c r="I8" s="34">
        <v>1.7350000000000001E-2</v>
      </c>
      <c r="J8" s="34">
        <v>1.706E-4</v>
      </c>
      <c r="K8" s="34">
        <v>1.472E-5</v>
      </c>
      <c r="L8" s="32">
        <v>2692.0099348421272</v>
      </c>
      <c r="M8" s="32">
        <v>9.2496179326700005</v>
      </c>
      <c r="N8" s="32">
        <v>0</v>
      </c>
      <c r="O8" s="32">
        <v>3.7146965434904492E-4</v>
      </c>
      <c r="P8" s="32">
        <v>0</v>
      </c>
      <c r="Q8" s="32">
        <v>0</v>
      </c>
      <c r="R8" s="32">
        <v>3.7146965434904492E-4</v>
      </c>
      <c r="S8" s="32">
        <v>3.7146965434904492E-4</v>
      </c>
      <c r="T8" s="32">
        <v>0</v>
      </c>
      <c r="U8" s="32">
        <v>0</v>
      </c>
      <c r="V8" s="32">
        <v>3.7146965434904492E-4</v>
      </c>
      <c r="W8" s="32">
        <v>0</v>
      </c>
      <c r="X8" s="32">
        <v>7.4293930869808985E-4</v>
      </c>
      <c r="Y8" s="32">
        <v>0</v>
      </c>
      <c r="Z8" s="32">
        <v>7.4293930869808985E-4</v>
      </c>
      <c r="AA8" s="32">
        <v>3.7146965434904492E-4</v>
      </c>
      <c r="AB8" s="32">
        <v>0</v>
      </c>
      <c r="AC8" s="32">
        <v>0</v>
      </c>
    </row>
    <row r="9" spans="1:29" x14ac:dyDescent="0.25">
      <c r="A9" s="32">
        <v>7</v>
      </c>
      <c r="B9" s="32">
        <v>9.2999754577709997</v>
      </c>
      <c r="C9" s="32">
        <v>23.910450999999998</v>
      </c>
      <c r="D9" s="32">
        <v>397.28300000000002</v>
      </c>
      <c r="E9" s="32">
        <v>42.817999999999998</v>
      </c>
      <c r="F9" s="32">
        <v>270</v>
      </c>
      <c r="G9" s="32">
        <v>0</v>
      </c>
      <c r="H9" s="32">
        <v>200</v>
      </c>
      <c r="I9" s="34">
        <v>1.7409999999999998E-2</v>
      </c>
      <c r="J9" s="34">
        <v>1.7249999999999999E-4</v>
      </c>
      <c r="K9" s="34">
        <v>1.4759999999999999E-5</v>
      </c>
      <c r="L9" s="32">
        <v>2648.0052889702852</v>
      </c>
      <c r="M9" s="32">
        <v>9.2999754577709997</v>
      </c>
      <c r="N9" s="32">
        <v>0</v>
      </c>
      <c r="O9" s="32">
        <v>0</v>
      </c>
      <c r="P9" s="32">
        <v>0</v>
      </c>
      <c r="Q9" s="32">
        <v>0</v>
      </c>
      <c r="R9" s="32">
        <v>3.7764275024875963E-4</v>
      </c>
      <c r="S9" s="32">
        <v>0</v>
      </c>
      <c r="T9" s="32">
        <v>0</v>
      </c>
      <c r="U9" s="32">
        <v>7.5528550049751926E-4</v>
      </c>
      <c r="V9" s="32">
        <v>0</v>
      </c>
      <c r="W9" s="32">
        <v>0</v>
      </c>
      <c r="X9" s="32">
        <v>1.6049816885572285E-4</v>
      </c>
      <c r="Y9" s="32">
        <v>0</v>
      </c>
      <c r="Z9" s="32">
        <v>1.5105710009950385E-3</v>
      </c>
      <c r="AA9" s="32">
        <v>0</v>
      </c>
      <c r="AB9" s="32">
        <v>0</v>
      </c>
      <c r="AC9" s="32">
        <v>0</v>
      </c>
    </row>
    <row r="10" spans="1:29" x14ac:dyDescent="0.25">
      <c r="A10" s="32">
        <v>8</v>
      </c>
      <c r="B10" s="32">
        <v>9.3500527518870005</v>
      </c>
      <c r="C10" s="32">
        <v>21.721316999999999</v>
      </c>
      <c r="D10" s="32">
        <v>400.334</v>
      </c>
      <c r="E10" s="32">
        <v>42.905000000000001</v>
      </c>
      <c r="F10" s="32">
        <v>270</v>
      </c>
      <c r="G10" s="32">
        <v>0</v>
      </c>
      <c r="H10" s="32">
        <v>200</v>
      </c>
      <c r="I10" s="34">
        <v>1.7389999999999999E-2</v>
      </c>
      <c r="J10" s="34">
        <v>1.7249999999999999E-4</v>
      </c>
      <c r="K10" s="34">
        <v>1.4769999999999999E-5</v>
      </c>
      <c r="L10" s="32">
        <v>2643.9740273292541</v>
      </c>
      <c r="M10" s="32">
        <v>9.3500527518870005</v>
      </c>
      <c r="N10" s="32">
        <v>0</v>
      </c>
      <c r="O10" s="32">
        <v>0</v>
      </c>
      <c r="P10" s="32">
        <v>0</v>
      </c>
      <c r="Q10" s="32">
        <v>0</v>
      </c>
      <c r="R10" s="32">
        <v>0</v>
      </c>
      <c r="S10" s="32">
        <v>0</v>
      </c>
      <c r="T10" s="32">
        <v>0</v>
      </c>
      <c r="U10" s="32">
        <v>3.7821854135614398E-4</v>
      </c>
      <c r="V10" s="32">
        <v>0</v>
      </c>
      <c r="W10" s="32">
        <v>0</v>
      </c>
      <c r="X10" s="32">
        <v>1.5128741654245759E-3</v>
      </c>
      <c r="Y10" s="32">
        <v>0</v>
      </c>
      <c r="Z10" s="32">
        <v>2.2693112481368639E-3</v>
      </c>
      <c r="AA10" s="32">
        <v>0</v>
      </c>
      <c r="AB10" s="32">
        <v>0</v>
      </c>
      <c r="AC10" s="32">
        <v>0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6381" r:id="rId3" name="ScaleDefault">
          <controlPr defaultSize="0" print="0" autoLine="0" r:id="rId4">
            <anchor moveWithCells="1">
              <from>
                <xdr:col>14</xdr:col>
                <xdr:colOff>457200</xdr:colOff>
                <xdr:row>18</xdr:row>
                <xdr:rowOff>123825</xdr:rowOff>
              </from>
              <to>
                <xdr:col>15</xdr:col>
                <xdr:colOff>276225</xdr:colOff>
                <xdr:row>20</xdr:row>
                <xdr:rowOff>19050</xdr:rowOff>
              </to>
            </anchor>
          </controlPr>
        </control>
      </mc:Choice>
      <mc:Fallback>
        <control shapeId="186381" r:id="rId3" name="ScaleDefault"/>
      </mc:Fallback>
    </mc:AlternateContent>
    <mc:AlternateContent xmlns:mc="http://schemas.openxmlformats.org/markup-compatibility/2006">
      <mc:Choice Requires="x14">
        <control shapeId="186380" r:id="rId5" name="ScaleYes">
          <controlPr defaultSize="0" print="0" autoLine="0" r:id="rId6">
            <anchor moveWithCells="1">
              <from>
                <xdr:col>13</xdr:col>
                <xdr:colOff>552450</xdr:colOff>
                <xdr:row>18</xdr:row>
                <xdr:rowOff>123825</xdr:rowOff>
              </from>
              <to>
                <xdr:col>14</xdr:col>
                <xdr:colOff>381000</xdr:colOff>
                <xdr:row>20</xdr:row>
                <xdr:rowOff>19050</xdr:rowOff>
              </to>
            </anchor>
          </controlPr>
        </control>
      </mc:Choice>
      <mc:Fallback>
        <control shapeId="186380" r:id="rId5" name="ScaleYes"/>
      </mc:Fallback>
    </mc:AlternateContent>
    <mc:AlternateContent xmlns:mc="http://schemas.openxmlformats.org/markup-compatibility/2006">
      <mc:Choice Requires="x14">
        <control shapeId="186379" r:id="rId7" name="YScaleMax">
          <controlPr defaultSize="0" print="0" autoLine="0" r:id="rId8">
            <anchor moveWithCells="1">
              <from>
                <xdr:col>14</xdr:col>
                <xdr:colOff>247650</xdr:colOff>
                <xdr:row>17</xdr:row>
                <xdr:rowOff>9525</xdr:rowOff>
              </from>
              <to>
                <xdr:col>15</xdr:col>
                <xdr:colOff>276225</xdr:colOff>
                <xdr:row>18</xdr:row>
                <xdr:rowOff>47625</xdr:rowOff>
              </to>
            </anchor>
          </controlPr>
        </control>
      </mc:Choice>
      <mc:Fallback>
        <control shapeId="186379" r:id="rId7" name="YScaleMax"/>
      </mc:Fallback>
    </mc:AlternateContent>
    <mc:AlternateContent xmlns:mc="http://schemas.openxmlformats.org/markup-compatibility/2006">
      <mc:Choice Requires="x14">
        <control shapeId="186378" r:id="rId9" name="YScaleMin">
          <controlPr defaultSize="0" print="0" autoLine="0" r:id="rId10">
            <anchor moveWithCells="1">
              <from>
                <xdr:col>12</xdr:col>
                <xdr:colOff>533400</xdr:colOff>
                <xdr:row>17</xdr:row>
                <xdr:rowOff>9525</xdr:rowOff>
              </from>
              <to>
                <xdr:col>13</xdr:col>
                <xdr:colOff>552450</xdr:colOff>
                <xdr:row>18</xdr:row>
                <xdr:rowOff>47625</xdr:rowOff>
              </to>
            </anchor>
          </controlPr>
        </control>
      </mc:Choice>
      <mc:Fallback>
        <control shapeId="186378" r:id="rId9" name="YScaleMin"/>
      </mc:Fallback>
    </mc:AlternateContent>
    <mc:AlternateContent xmlns:mc="http://schemas.openxmlformats.org/markup-compatibility/2006">
      <mc:Choice Requires="x14">
        <control shapeId="186377" r:id="rId11" name="Label4">
          <controlPr defaultSize="0" print="0" autoLine="0" r:id="rId12">
            <anchor moveWithCells="1">
              <from>
                <xdr:col>13</xdr:col>
                <xdr:colOff>571500</xdr:colOff>
                <xdr:row>17</xdr:row>
                <xdr:rowOff>38100</xdr:rowOff>
              </from>
              <to>
                <xdr:col>14</xdr:col>
                <xdr:colOff>238125</xdr:colOff>
                <xdr:row>18</xdr:row>
                <xdr:rowOff>76200</xdr:rowOff>
              </to>
            </anchor>
          </controlPr>
        </control>
      </mc:Choice>
      <mc:Fallback>
        <control shapeId="186377" r:id="rId11" name="Label4"/>
      </mc:Fallback>
    </mc:AlternateContent>
    <mc:AlternateContent xmlns:mc="http://schemas.openxmlformats.org/markup-compatibility/2006">
      <mc:Choice Requires="x14">
        <control shapeId="186376" r:id="rId13" name="YScaleLogarithmic">
          <controlPr defaultSize="0" print="0" autoLine="0" r:id="rId14">
            <anchor moveWithCells="1">
              <from>
                <xdr:col>14</xdr:col>
                <xdr:colOff>161925</xdr:colOff>
                <xdr:row>15</xdr:row>
                <xdr:rowOff>161925</xdr:rowOff>
              </from>
              <to>
                <xdr:col>15</xdr:col>
                <xdr:colOff>342900</xdr:colOff>
                <xdr:row>17</xdr:row>
                <xdr:rowOff>9525</xdr:rowOff>
              </to>
            </anchor>
          </controlPr>
        </control>
      </mc:Choice>
      <mc:Fallback>
        <control shapeId="186376" r:id="rId13" name="YScaleLogarithmic"/>
      </mc:Fallback>
    </mc:AlternateContent>
    <mc:AlternateContent xmlns:mc="http://schemas.openxmlformats.org/markup-compatibility/2006">
      <mc:Choice Requires="x14">
        <control shapeId="186375" r:id="rId15" name="Label3">
          <controlPr defaultSize="0" print="0" autoLine="0" r:id="rId16">
            <anchor moveWithCells="1">
              <from>
                <xdr:col>13</xdr:col>
                <xdr:colOff>47625</xdr:colOff>
                <xdr:row>16</xdr:row>
                <xdr:rowOff>0</xdr:rowOff>
              </from>
              <to>
                <xdr:col>14</xdr:col>
                <xdr:colOff>76200</xdr:colOff>
                <xdr:row>17</xdr:row>
                <xdr:rowOff>38100</xdr:rowOff>
              </to>
            </anchor>
          </controlPr>
        </control>
      </mc:Choice>
      <mc:Fallback>
        <control shapeId="186375" r:id="rId15" name="Label3"/>
      </mc:Fallback>
    </mc:AlternateContent>
    <mc:AlternateContent xmlns:mc="http://schemas.openxmlformats.org/markup-compatibility/2006">
      <mc:Choice Requires="x14">
        <control shapeId="186374" r:id="rId17" name="XScaleMax">
          <controlPr defaultSize="0" print="0" autoLine="0" r:id="rId18">
            <anchor moveWithCells="1">
              <from>
                <xdr:col>14</xdr:col>
                <xdr:colOff>247650</xdr:colOff>
                <xdr:row>14</xdr:row>
                <xdr:rowOff>76200</xdr:rowOff>
              </from>
              <to>
                <xdr:col>15</xdr:col>
                <xdr:colOff>276225</xdr:colOff>
                <xdr:row>15</xdr:row>
                <xdr:rowOff>114300</xdr:rowOff>
              </to>
            </anchor>
          </controlPr>
        </control>
      </mc:Choice>
      <mc:Fallback>
        <control shapeId="186374" r:id="rId17" name="XScaleMax"/>
      </mc:Fallback>
    </mc:AlternateContent>
    <mc:AlternateContent xmlns:mc="http://schemas.openxmlformats.org/markup-compatibility/2006">
      <mc:Choice Requires="x14">
        <control shapeId="186373" r:id="rId19" name="XScaleMin">
          <controlPr defaultSize="0" print="0" autoLine="0" r:id="rId20">
            <anchor moveWithCells="1">
              <from>
                <xdr:col>12</xdr:col>
                <xdr:colOff>533400</xdr:colOff>
                <xdr:row>14</xdr:row>
                <xdr:rowOff>76200</xdr:rowOff>
              </from>
              <to>
                <xdr:col>13</xdr:col>
                <xdr:colOff>552450</xdr:colOff>
                <xdr:row>15</xdr:row>
                <xdr:rowOff>114300</xdr:rowOff>
              </to>
            </anchor>
          </controlPr>
        </control>
      </mc:Choice>
      <mc:Fallback>
        <control shapeId="186373" r:id="rId19" name="XScaleMin"/>
      </mc:Fallback>
    </mc:AlternateContent>
    <mc:AlternateContent xmlns:mc="http://schemas.openxmlformats.org/markup-compatibility/2006">
      <mc:Choice Requires="x14">
        <control shapeId="186372" r:id="rId21" name="Label2">
          <controlPr defaultSize="0" print="0" autoLine="0" r:id="rId22">
            <anchor moveWithCells="1">
              <from>
                <xdr:col>13</xdr:col>
                <xdr:colOff>571500</xdr:colOff>
                <xdr:row>14</xdr:row>
                <xdr:rowOff>95250</xdr:rowOff>
              </from>
              <to>
                <xdr:col>14</xdr:col>
                <xdr:colOff>238125</xdr:colOff>
                <xdr:row>15</xdr:row>
                <xdr:rowOff>133350</xdr:rowOff>
              </to>
            </anchor>
          </controlPr>
        </control>
      </mc:Choice>
      <mc:Fallback>
        <control shapeId="186372" r:id="rId21" name="Label2"/>
      </mc:Fallback>
    </mc:AlternateContent>
    <mc:AlternateContent xmlns:mc="http://schemas.openxmlformats.org/markup-compatibility/2006">
      <mc:Choice Requires="x14">
        <control shapeId="186371" r:id="rId23" name="Label1">
          <controlPr defaultSize="0" print="0" autoLine="0" r:id="rId24">
            <anchor moveWithCells="1">
              <from>
                <xdr:col>13</xdr:col>
                <xdr:colOff>390525</xdr:colOff>
                <xdr:row>13</xdr:row>
                <xdr:rowOff>57150</xdr:rowOff>
              </from>
              <to>
                <xdr:col>14</xdr:col>
                <xdr:colOff>419100</xdr:colOff>
                <xdr:row>14</xdr:row>
                <xdr:rowOff>95250</xdr:rowOff>
              </to>
            </anchor>
          </controlPr>
        </control>
      </mc:Choice>
      <mc:Fallback>
        <control shapeId="186371" r:id="rId23" name="Label1"/>
      </mc:Fallback>
    </mc:AlternateContent>
    <mc:AlternateContent xmlns:mc="http://schemas.openxmlformats.org/markup-compatibility/2006">
      <mc:Choice Requires="x14">
        <control shapeId="186370" r:id="rId25" name="FmlListBox">
          <controlPr defaultSize="0" print="0" autoLine="0" r:id="rId26">
            <anchor moveWithCells="1">
              <from>
                <xdr:col>12</xdr:col>
                <xdr:colOff>428625</xdr:colOff>
                <xdr:row>4</xdr:row>
                <xdr:rowOff>76200</xdr:rowOff>
              </from>
              <to>
                <xdr:col>15</xdr:col>
                <xdr:colOff>381000</xdr:colOff>
                <xdr:row>13</xdr:row>
                <xdr:rowOff>19050</xdr:rowOff>
              </to>
            </anchor>
          </controlPr>
        </control>
      </mc:Choice>
      <mc:Fallback>
        <control shapeId="186370" r:id="rId25" name="FmlListBox"/>
      </mc:Fallback>
    </mc:AlternateContent>
    <mc:AlternateContent xmlns:mc="http://schemas.openxmlformats.org/markup-compatibility/2006">
      <mc:Choice Requires="x14">
        <control shapeId="186369" r:id="rId27" name="RngCopy">
          <controlPr defaultSize="0" print="0" autoLine="0" r:id="rId28">
            <anchor moveWithCells="1">
              <from>
                <xdr:col>0</xdr:col>
                <xdr:colOff>581025</xdr:colOff>
                <xdr:row>2</xdr:row>
                <xdr:rowOff>152400</xdr:rowOff>
              </from>
              <to>
                <xdr:col>3</xdr:col>
                <xdr:colOff>19050</xdr:colOff>
                <xdr:row>4</xdr:row>
                <xdr:rowOff>47625</xdr:rowOff>
              </to>
            </anchor>
          </controlPr>
        </control>
      </mc:Choice>
      <mc:Fallback>
        <control shapeId="186369" r:id="rId27" name="RngCop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AC15"/>
  <sheetViews>
    <sheetView workbookViewId="0"/>
  </sheetViews>
  <sheetFormatPr defaultRowHeight="15" x14ac:dyDescent="0.25"/>
  <cols>
    <col min="1" max="16384" width="9.140625" style="32"/>
  </cols>
  <sheetData>
    <row r="1" spans="1:29" x14ac:dyDescent="0.25">
      <c r="A1" s="32" t="s">
        <v>65</v>
      </c>
      <c r="B1" s="32" t="s">
        <v>29</v>
      </c>
      <c r="M1" s="32" t="s">
        <v>30</v>
      </c>
      <c r="N1" s="32" t="s">
        <v>42</v>
      </c>
      <c r="O1" s="32" t="s">
        <v>45</v>
      </c>
      <c r="P1" s="32" t="s">
        <v>27</v>
      </c>
      <c r="Q1" s="32" t="s">
        <v>44</v>
      </c>
      <c r="V1" s="32" t="s">
        <v>28</v>
      </c>
    </row>
    <row r="2" spans="1:29" x14ac:dyDescent="0.25">
      <c r="A2" s="32" t="s">
        <v>31</v>
      </c>
      <c r="B2" s="32" t="s">
        <v>32</v>
      </c>
      <c r="C2" s="32" t="s">
        <v>33</v>
      </c>
      <c r="D2" s="32" t="s">
        <v>34</v>
      </c>
      <c r="E2" s="32" t="s">
        <v>35</v>
      </c>
      <c r="F2" s="32" t="s">
        <v>36</v>
      </c>
      <c r="G2" s="32" t="s">
        <v>37</v>
      </c>
      <c r="H2" s="32" t="s">
        <v>22</v>
      </c>
      <c r="I2" s="32" t="s">
        <v>38</v>
      </c>
      <c r="J2" s="32" t="s">
        <v>39</v>
      </c>
      <c r="K2" s="32" t="s">
        <v>40</v>
      </c>
      <c r="L2" s="32" t="s">
        <v>41</v>
      </c>
      <c r="M2" s="32" t="s">
        <v>32</v>
      </c>
      <c r="N2" s="32">
        <v>18.001999999999999</v>
      </c>
      <c r="O2" s="32">
        <v>27.988</v>
      </c>
      <c r="P2" s="32">
        <v>31.98</v>
      </c>
      <c r="Q2" s="32">
        <v>43.985999999999997</v>
      </c>
      <c r="R2" s="32">
        <v>44.98</v>
      </c>
      <c r="S2" s="32">
        <v>49.987000000000002</v>
      </c>
      <c r="T2" s="32">
        <v>69.076999999999998</v>
      </c>
      <c r="U2" s="32">
        <v>77.986000000000004</v>
      </c>
      <c r="V2" s="32">
        <v>83.88</v>
      </c>
      <c r="W2" s="32">
        <v>99.974000000000004</v>
      </c>
      <c r="X2" s="32">
        <v>112.093</v>
      </c>
      <c r="Y2" s="32">
        <v>118.967</v>
      </c>
      <c r="Z2" s="32">
        <v>130.96100000000001</v>
      </c>
      <c r="AA2" s="32">
        <v>148.97999999999999</v>
      </c>
      <c r="AB2" s="32">
        <v>167.01599999999999</v>
      </c>
      <c r="AC2" s="32">
        <v>249.917</v>
      </c>
    </row>
    <row r="3" spans="1:29" x14ac:dyDescent="0.25">
      <c r="A3" s="32">
        <v>1</v>
      </c>
      <c r="B3" s="32">
        <v>8.9999897437360001</v>
      </c>
      <c r="C3" s="32">
        <v>44.536718</v>
      </c>
      <c r="D3" s="32">
        <v>396.70299999999997</v>
      </c>
      <c r="E3" s="32">
        <v>42.284999999999997</v>
      </c>
      <c r="F3" s="32">
        <v>270</v>
      </c>
      <c r="G3" s="32">
        <v>0</v>
      </c>
      <c r="H3" s="32">
        <v>200</v>
      </c>
      <c r="I3" s="34">
        <v>1.7409999999999998E-2</v>
      </c>
      <c r="J3" s="34">
        <v>1.7100000000000001E-4</v>
      </c>
      <c r="K3" s="34">
        <v>1.446E-5</v>
      </c>
      <c r="L3" s="32">
        <v>2748.8901124509639</v>
      </c>
      <c r="M3" s="32">
        <v>8.9999897437360001</v>
      </c>
      <c r="N3" s="32">
        <v>0</v>
      </c>
      <c r="O3" s="32">
        <v>0</v>
      </c>
      <c r="P3" s="32">
        <v>0</v>
      </c>
      <c r="Q3" s="32">
        <v>0</v>
      </c>
      <c r="R3" s="32">
        <v>0</v>
      </c>
      <c r="S3" s="32">
        <v>0</v>
      </c>
      <c r="T3" s="32">
        <v>0</v>
      </c>
      <c r="U3" s="32">
        <v>0</v>
      </c>
      <c r="V3" s="32">
        <v>3.6378318488270909E-4</v>
      </c>
      <c r="W3" s="32">
        <v>0</v>
      </c>
      <c r="X3" s="32">
        <v>0</v>
      </c>
      <c r="Y3" s="32">
        <v>0</v>
      </c>
      <c r="Z3" s="32">
        <v>1.0913495546481273E-3</v>
      </c>
      <c r="AA3" s="32">
        <v>0</v>
      </c>
      <c r="AB3" s="32">
        <v>0</v>
      </c>
      <c r="AC3" s="32">
        <v>0</v>
      </c>
    </row>
    <row r="4" spans="1:29" x14ac:dyDescent="0.25">
      <c r="A4" s="32">
        <v>2</v>
      </c>
      <c r="B4" s="32">
        <v>9.0498997713300007</v>
      </c>
      <c r="C4" s="32">
        <v>40.742685000000002</v>
      </c>
      <c r="D4" s="32">
        <v>401.00299999999999</v>
      </c>
      <c r="E4" s="32">
        <v>42.374000000000002</v>
      </c>
      <c r="F4" s="32">
        <v>270</v>
      </c>
      <c r="G4" s="32">
        <v>0</v>
      </c>
      <c r="H4" s="32">
        <v>200</v>
      </c>
      <c r="I4" s="34">
        <v>1.754E-2</v>
      </c>
      <c r="J4" s="34">
        <v>1.716E-4</v>
      </c>
      <c r="K4" s="34">
        <v>1.451E-5</v>
      </c>
      <c r="L4" s="32">
        <v>2767.9103212435462</v>
      </c>
      <c r="M4" s="32">
        <v>9.0498997713300007</v>
      </c>
      <c r="N4" s="32">
        <v>0</v>
      </c>
      <c r="O4" s="32">
        <v>0</v>
      </c>
      <c r="P4" s="32">
        <v>0</v>
      </c>
      <c r="Q4" s="32">
        <v>0</v>
      </c>
      <c r="R4" s="32">
        <v>3.6128338130215413E-4</v>
      </c>
      <c r="S4" s="32">
        <v>0</v>
      </c>
      <c r="T4" s="32">
        <v>0</v>
      </c>
      <c r="U4" s="32">
        <v>0</v>
      </c>
      <c r="V4" s="32">
        <v>0</v>
      </c>
      <c r="W4" s="32">
        <v>0</v>
      </c>
      <c r="X4" s="32">
        <v>1.5354543705341551E-4</v>
      </c>
      <c r="Y4" s="32">
        <v>0</v>
      </c>
      <c r="Z4" s="32">
        <v>2.1677002878129248E-3</v>
      </c>
      <c r="AA4" s="32">
        <v>0</v>
      </c>
      <c r="AB4" s="32">
        <v>0</v>
      </c>
      <c r="AC4" s="32">
        <v>0</v>
      </c>
    </row>
    <row r="5" spans="1:29" x14ac:dyDescent="0.25">
      <c r="A5" s="32">
        <v>3</v>
      </c>
      <c r="B5" s="32">
        <v>9.0999967393749994</v>
      </c>
      <c r="C5" s="32">
        <v>37.063296000000001</v>
      </c>
      <c r="D5" s="32">
        <v>398.036</v>
      </c>
      <c r="E5" s="32">
        <v>42.465000000000003</v>
      </c>
      <c r="F5" s="32">
        <v>270</v>
      </c>
      <c r="G5" s="32">
        <v>0</v>
      </c>
      <c r="H5" s="32">
        <v>200</v>
      </c>
      <c r="I5" s="34">
        <v>1.7520000000000001E-2</v>
      </c>
      <c r="J5" s="34">
        <v>1.718E-4</v>
      </c>
      <c r="K5" s="34">
        <v>1.4630000000000001E-5</v>
      </c>
      <c r="L5" s="32">
        <v>2736.7775165020857</v>
      </c>
      <c r="M5" s="32">
        <v>9.0999967393749994</v>
      </c>
      <c r="N5" s="32">
        <v>0</v>
      </c>
      <c r="O5" s="32">
        <v>0</v>
      </c>
      <c r="P5" s="32">
        <v>0</v>
      </c>
      <c r="Q5" s="32">
        <v>0</v>
      </c>
      <c r="R5" s="32">
        <v>3.6539323856990547E-4</v>
      </c>
      <c r="S5" s="32">
        <v>0</v>
      </c>
      <c r="T5" s="32">
        <v>0</v>
      </c>
      <c r="U5" s="32">
        <v>0</v>
      </c>
      <c r="V5" s="32">
        <v>0</v>
      </c>
      <c r="W5" s="32">
        <v>3.6539323856990547E-4</v>
      </c>
      <c r="X5" s="32">
        <v>3.6539323856990547E-4</v>
      </c>
      <c r="Y5" s="32">
        <v>0</v>
      </c>
      <c r="Z5" s="32">
        <v>3.2885391471291492E-3</v>
      </c>
      <c r="AA5" s="32">
        <v>0</v>
      </c>
      <c r="AB5" s="32">
        <v>0</v>
      </c>
      <c r="AC5" s="32">
        <v>0</v>
      </c>
    </row>
    <row r="6" spans="1:29" x14ac:dyDescent="0.25">
      <c r="A6" s="32">
        <v>4</v>
      </c>
      <c r="B6" s="32">
        <v>9.1498388581590007</v>
      </c>
      <c r="C6" s="32">
        <v>32.574160999999997</v>
      </c>
      <c r="D6" s="32">
        <v>395.12200000000001</v>
      </c>
      <c r="E6" s="32">
        <v>42.554000000000002</v>
      </c>
      <c r="F6" s="32">
        <v>270</v>
      </c>
      <c r="G6" s="32">
        <v>0</v>
      </c>
      <c r="H6" s="32">
        <v>200</v>
      </c>
      <c r="I6" s="34">
        <v>1.7389999999999999E-2</v>
      </c>
      <c r="J6" s="34">
        <v>1.739E-4</v>
      </c>
      <c r="K6" s="34">
        <v>1.4579999999999999E-5</v>
      </c>
      <c r="L6" s="32">
        <v>2706.3013958266342</v>
      </c>
      <c r="M6" s="32">
        <v>9.1498388581590007</v>
      </c>
      <c r="N6" s="32">
        <v>0</v>
      </c>
      <c r="O6" s="32">
        <v>0</v>
      </c>
      <c r="P6" s="32">
        <v>0</v>
      </c>
      <c r="Q6" s="32">
        <v>0</v>
      </c>
      <c r="R6" s="32">
        <v>0</v>
      </c>
      <c r="S6" s="32">
        <v>0</v>
      </c>
      <c r="T6" s="32">
        <v>0</v>
      </c>
      <c r="U6" s="32">
        <v>0</v>
      </c>
      <c r="V6" s="32">
        <v>0</v>
      </c>
      <c r="W6" s="32">
        <v>0</v>
      </c>
      <c r="X6" s="32">
        <v>3.6950799402538537E-4</v>
      </c>
      <c r="Y6" s="32">
        <v>0</v>
      </c>
      <c r="Z6" s="32">
        <v>2.956063952203083E-3</v>
      </c>
      <c r="AA6" s="32">
        <v>0</v>
      </c>
      <c r="AB6" s="32">
        <v>0</v>
      </c>
      <c r="AC6" s="32">
        <v>0</v>
      </c>
    </row>
    <row r="7" spans="1:29" x14ac:dyDescent="0.25">
      <c r="A7" s="32">
        <v>5</v>
      </c>
      <c r="B7" s="32">
        <v>9.1995071281970002</v>
      </c>
      <c r="C7" s="32">
        <v>29.567101999999998</v>
      </c>
      <c r="D7" s="32">
        <v>397.33800000000002</v>
      </c>
      <c r="E7" s="32">
        <v>42.642000000000003</v>
      </c>
      <c r="F7" s="32">
        <v>270</v>
      </c>
      <c r="G7" s="32">
        <v>0</v>
      </c>
      <c r="H7" s="32">
        <v>200</v>
      </c>
      <c r="I7" s="34">
        <v>1.7479999999999999E-2</v>
      </c>
      <c r="J7" s="34">
        <v>1.7249999999999999E-4</v>
      </c>
      <c r="K7" s="34">
        <v>1.4620000000000001E-5</v>
      </c>
      <c r="L7" s="32">
        <v>2698.2624347592696</v>
      </c>
      <c r="M7" s="32">
        <v>9.1995071281970002</v>
      </c>
      <c r="N7" s="32">
        <v>0</v>
      </c>
      <c r="O7" s="32">
        <v>0</v>
      </c>
      <c r="P7" s="32">
        <v>3.7060887299838086E-4</v>
      </c>
      <c r="Q7" s="32">
        <v>0</v>
      </c>
      <c r="R7" s="32">
        <v>7.4121774599676172E-4</v>
      </c>
      <c r="S7" s="32">
        <v>1.0191744007455474E-4</v>
      </c>
      <c r="T7" s="32">
        <v>0</v>
      </c>
      <c r="U7" s="32">
        <v>0</v>
      </c>
      <c r="V7" s="32">
        <v>0</v>
      </c>
      <c r="W7" s="32">
        <v>0</v>
      </c>
      <c r="X7" s="32">
        <v>7.4121774599676172E-4</v>
      </c>
      <c r="Y7" s="32">
        <v>0</v>
      </c>
      <c r="Z7" s="32">
        <v>1.8530443649919042E-3</v>
      </c>
      <c r="AA7" s="32">
        <v>3.7060887299838086E-4</v>
      </c>
      <c r="AB7" s="32">
        <v>0</v>
      </c>
      <c r="AC7" s="32">
        <v>0</v>
      </c>
    </row>
    <row r="8" spans="1:29" x14ac:dyDescent="0.25">
      <c r="A8" s="32">
        <v>6</v>
      </c>
      <c r="B8" s="32">
        <v>9.2496179326700005</v>
      </c>
      <c r="C8" s="32">
        <v>26.61082</v>
      </c>
      <c r="D8" s="32">
        <v>400.142</v>
      </c>
      <c r="E8" s="32">
        <v>42.73</v>
      </c>
      <c r="F8" s="32">
        <v>270</v>
      </c>
      <c r="G8" s="32">
        <v>0</v>
      </c>
      <c r="H8" s="32">
        <v>200</v>
      </c>
      <c r="I8" s="34">
        <v>1.7350000000000001E-2</v>
      </c>
      <c r="J8" s="34">
        <v>1.706E-4</v>
      </c>
      <c r="K8" s="34">
        <v>1.472E-5</v>
      </c>
      <c r="L8" s="32">
        <v>2692.0099348421272</v>
      </c>
      <c r="M8" s="32">
        <v>9.2496179326700005</v>
      </c>
      <c r="N8" s="32">
        <v>0</v>
      </c>
      <c r="O8" s="32">
        <v>3.7146965434904492E-4</v>
      </c>
      <c r="P8" s="32">
        <v>0</v>
      </c>
      <c r="Q8" s="32">
        <v>0</v>
      </c>
      <c r="R8" s="32">
        <v>3.7146965434904492E-4</v>
      </c>
      <c r="S8" s="32">
        <v>3.7146965434904492E-4</v>
      </c>
      <c r="T8" s="32">
        <v>0</v>
      </c>
      <c r="U8" s="32">
        <v>0</v>
      </c>
      <c r="V8" s="32">
        <v>3.7146965434904492E-4</v>
      </c>
      <c r="W8" s="32">
        <v>0</v>
      </c>
      <c r="X8" s="32">
        <v>7.4293930869808985E-4</v>
      </c>
      <c r="Y8" s="32">
        <v>0</v>
      </c>
      <c r="Z8" s="32">
        <v>7.4293930869808985E-4</v>
      </c>
      <c r="AA8" s="32">
        <v>3.7146965434904492E-4</v>
      </c>
      <c r="AB8" s="32">
        <v>0</v>
      </c>
      <c r="AC8" s="32">
        <v>0</v>
      </c>
    </row>
    <row r="9" spans="1:29" x14ac:dyDescent="0.25">
      <c r="A9" s="32">
        <v>7</v>
      </c>
      <c r="B9" s="32">
        <v>9.2999754577709997</v>
      </c>
      <c r="C9" s="32">
        <v>23.910450999999998</v>
      </c>
      <c r="D9" s="32">
        <v>397.28300000000002</v>
      </c>
      <c r="E9" s="32">
        <v>42.817999999999998</v>
      </c>
      <c r="F9" s="32">
        <v>270</v>
      </c>
      <c r="G9" s="32">
        <v>0</v>
      </c>
      <c r="H9" s="32">
        <v>200</v>
      </c>
      <c r="I9" s="34">
        <v>1.7409999999999998E-2</v>
      </c>
      <c r="J9" s="34">
        <v>1.7249999999999999E-4</v>
      </c>
      <c r="K9" s="34">
        <v>1.4759999999999999E-5</v>
      </c>
      <c r="L9" s="32">
        <v>2648.0052889702852</v>
      </c>
      <c r="M9" s="32">
        <v>9.2999754577709997</v>
      </c>
      <c r="N9" s="32">
        <v>0</v>
      </c>
      <c r="O9" s="32">
        <v>0</v>
      </c>
      <c r="P9" s="32">
        <v>0</v>
      </c>
      <c r="Q9" s="32">
        <v>0</v>
      </c>
      <c r="R9" s="32">
        <v>3.7764275024875963E-4</v>
      </c>
      <c r="S9" s="32">
        <v>0</v>
      </c>
      <c r="T9" s="32">
        <v>0</v>
      </c>
      <c r="U9" s="32">
        <v>7.5528550049751926E-4</v>
      </c>
      <c r="V9" s="32">
        <v>0</v>
      </c>
      <c r="W9" s="32">
        <v>0</v>
      </c>
      <c r="X9" s="32">
        <v>1.6049816885572285E-4</v>
      </c>
      <c r="Y9" s="32">
        <v>0</v>
      </c>
      <c r="Z9" s="32">
        <v>1.5105710009950385E-3</v>
      </c>
      <c r="AA9" s="32">
        <v>0</v>
      </c>
      <c r="AB9" s="32">
        <v>0</v>
      </c>
      <c r="AC9" s="32">
        <v>0</v>
      </c>
    </row>
    <row r="10" spans="1:29" x14ac:dyDescent="0.25">
      <c r="A10" s="32">
        <v>8</v>
      </c>
      <c r="B10" s="32">
        <v>9.3500527518870005</v>
      </c>
      <c r="C10" s="32">
        <v>21.721316999999999</v>
      </c>
      <c r="D10" s="32">
        <v>400.334</v>
      </c>
      <c r="E10" s="32">
        <v>42.905000000000001</v>
      </c>
      <c r="F10" s="32">
        <v>270</v>
      </c>
      <c r="G10" s="32">
        <v>0</v>
      </c>
      <c r="H10" s="32">
        <v>200</v>
      </c>
      <c r="I10" s="34">
        <v>1.7389999999999999E-2</v>
      </c>
      <c r="J10" s="34">
        <v>1.7249999999999999E-4</v>
      </c>
      <c r="K10" s="34">
        <v>1.4769999999999999E-5</v>
      </c>
      <c r="L10" s="32">
        <v>2643.9740273292541</v>
      </c>
      <c r="M10" s="32">
        <v>9.3500527518870005</v>
      </c>
      <c r="N10" s="32">
        <v>0</v>
      </c>
      <c r="O10" s="32">
        <v>0</v>
      </c>
      <c r="P10" s="32">
        <v>0</v>
      </c>
      <c r="Q10" s="32">
        <v>0</v>
      </c>
      <c r="R10" s="32">
        <v>0</v>
      </c>
      <c r="S10" s="32">
        <v>0</v>
      </c>
      <c r="T10" s="32">
        <v>0</v>
      </c>
      <c r="U10" s="32">
        <v>3.7821854135614398E-4</v>
      </c>
      <c r="V10" s="32">
        <v>0</v>
      </c>
      <c r="W10" s="32">
        <v>0</v>
      </c>
      <c r="X10" s="32">
        <v>1.5128741654245759E-3</v>
      </c>
      <c r="Y10" s="32">
        <v>0</v>
      </c>
      <c r="Z10" s="32">
        <v>2.2693112481368639E-3</v>
      </c>
      <c r="AA10" s="32">
        <v>0</v>
      </c>
      <c r="AB10" s="32">
        <v>0</v>
      </c>
      <c r="AC10" s="32">
        <v>0</v>
      </c>
    </row>
    <row r="11" spans="1:29" x14ac:dyDescent="0.25">
      <c r="A11" s="32">
        <v>9</v>
      </c>
      <c r="B11" s="32">
        <v>9.3997460832369999</v>
      </c>
      <c r="C11" s="32">
        <v>20.495588999999999</v>
      </c>
      <c r="D11" s="32">
        <v>397.41500000000002</v>
      </c>
      <c r="E11" s="32">
        <v>42.991999999999997</v>
      </c>
      <c r="F11" s="32">
        <v>270</v>
      </c>
      <c r="G11" s="32">
        <v>0</v>
      </c>
      <c r="H11" s="32">
        <v>200</v>
      </c>
      <c r="I11" s="34">
        <v>1.7500000000000002E-2</v>
      </c>
      <c r="J11" s="34">
        <v>1.7369999999999999E-4</v>
      </c>
      <c r="K11" s="34">
        <v>1.4769999999999999E-5</v>
      </c>
      <c r="L11" s="32">
        <v>2601.1246118344361</v>
      </c>
      <c r="M11" s="32">
        <v>9.3997460832369999</v>
      </c>
      <c r="N11" s="32">
        <v>3.8444909384589333E-4</v>
      </c>
      <c r="O11" s="32">
        <v>0</v>
      </c>
      <c r="P11" s="32">
        <v>0</v>
      </c>
      <c r="Q11" s="32">
        <v>3.8444909384589333E-4</v>
      </c>
      <c r="R11" s="32">
        <v>0</v>
      </c>
      <c r="S11" s="32">
        <v>0</v>
      </c>
      <c r="T11" s="32">
        <v>0</v>
      </c>
      <c r="U11" s="32">
        <v>1.15334728153768E-3</v>
      </c>
      <c r="V11" s="32">
        <v>0</v>
      </c>
      <c r="W11" s="32">
        <v>3.8444909384589333E-4</v>
      </c>
      <c r="X11" s="32">
        <v>3.8444909384589333E-4</v>
      </c>
      <c r="Y11" s="32">
        <v>0</v>
      </c>
      <c r="Z11" s="32">
        <v>2.9698692499595257E-3</v>
      </c>
      <c r="AA11" s="32">
        <v>7.6889818769178666E-4</v>
      </c>
      <c r="AB11" s="32">
        <v>7.6889818769178666E-4</v>
      </c>
      <c r="AC11" s="32">
        <v>0</v>
      </c>
    </row>
    <row r="12" spans="1:29" x14ac:dyDescent="0.25">
      <c r="A12" s="32">
        <v>10</v>
      </c>
      <c r="B12" s="32">
        <v>9.4497624552549997</v>
      </c>
      <c r="C12" s="32">
        <v>18.965496000000002</v>
      </c>
      <c r="D12" s="32">
        <v>400.77</v>
      </c>
      <c r="E12" s="32">
        <v>43.078000000000003</v>
      </c>
      <c r="F12" s="32">
        <v>270</v>
      </c>
      <c r="G12" s="32">
        <v>0</v>
      </c>
      <c r="H12" s="32">
        <v>200</v>
      </c>
      <c r="I12" s="34">
        <v>1.7389999999999999E-2</v>
      </c>
      <c r="J12" s="34">
        <v>1.7330000000000001E-4</v>
      </c>
      <c r="K12" s="34">
        <v>1.4769999999999999E-5</v>
      </c>
      <c r="L12" s="32">
        <v>2599.5860761459635</v>
      </c>
      <c r="M12" s="32">
        <v>9.4497624552549997</v>
      </c>
      <c r="N12" s="32">
        <v>0</v>
      </c>
      <c r="O12" s="32">
        <v>0</v>
      </c>
      <c r="P12" s="32">
        <v>0</v>
      </c>
      <c r="Q12" s="32">
        <v>0</v>
      </c>
      <c r="R12" s="32">
        <v>0</v>
      </c>
      <c r="S12" s="32">
        <v>0</v>
      </c>
      <c r="T12" s="32">
        <v>0</v>
      </c>
      <c r="U12" s="32">
        <v>0</v>
      </c>
      <c r="V12" s="32">
        <v>0</v>
      </c>
      <c r="W12" s="32">
        <v>0</v>
      </c>
      <c r="X12" s="32">
        <v>4.6161195084529353E-3</v>
      </c>
      <c r="Y12" s="32">
        <v>0</v>
      </c>
      <c r="Z12" s="32">
        <v>3.4620896313397017E-3</v>
      </c>
      <c r="AA12" s="32">
        <v>3.8467662570441127E-4</v>
      </c>
      <c r="AB12" s="32">
        <v>0</v>
      </c>
      <c r="AC12" s="32">
        <v>0</v>
      </c>
    </row>
    <row r="13" spans="1:29" x14ac:dyDescent="0.25">
      <c r="A13" s="32">
        <v>11</v>
      </c>
      <c r="B13" s="32">
        <v>9.4997008353380004</v>
      </c>
      <c r="C13" s="32">
        <v>18.394773000000001</v>
      </c>
      <c r="D13" s="32">
        <v>398.01600000000002</v>
      </c>
      <c r="E13" s="32">
        <v>43.165999999999997</v>
      </c>
      <c r="F13" s="32">
        <v>270</v>
      </c>
      <c r="G13" s="32">
        <v>0</v>
      </c>
      <c r="H13" s="32">
        <v>200</v>
      </c>
      <c r="I13" s="34">
        <v>1.7350000000000001E-2</v>
      </c>
      <c r="J13" s="34">
        <v>1.7369999999999999E-4</v>
      </c>
      <c r="K13" s="34">
        <v>1.491E-5</v>
      </c>
      <c r="L13" s="32">
        <v>2558.8362009506181</v>
      </c>
      <c r="M13" s="32">
        <v>9.4997008353380004</v>
      </c>
      <c r="N13" s="32">
        <v>0</v>
      </c>
      <c r="O13" s="32">
        <v>3.908026624089873E-4</v>
      </c>
      <c r="P13" s="32">
        <v>0</v>
      </c>
      <c r="Q13" s="32">
        <v>0</v>
      </c>
      <c r="R13" s="32">
        <v>0</v>
      </c>
      <c r="S13" s="32">
        <v>0</v>
      </c>
      <c r="T13" s="32">
        <v>0</v>
      </c>
      <c r="U13" s="32">
        <v>0</v>
      </c>
      <c r="V13" s="32">
        <v>3.908026624089873E-4</v>
      </c>
      <c r="W13" s="32">
        <v>0</v>
      </c>
      <c r="X13" s="32">
        <v>2.3448159744539239E-3</v>
      </c>
      <c r="Y13" s="32">
        <v>0</v>
      </c>
      <c r="Z13" s="32">
        <v>1.5632106496359492E-3</v>
      </c>
      <c r="AA13" s="32">
        <v>0</v>
      </c>
      <c r="AB13" s="32">
        <v>0</v>
      </c>
      <c r="AC13" s="32">
        <v>3.908026624089873E-4</v>
      </c>
    </row>
    <row r="14" spans="1:29" x14ac:dyDescent="0.25">
      <c r="A14" s="32">
        <v>12</v>
      </c>
      <c r="B14" s="32">
        <v>9.5500282071899996</v>
      </c>
      <c r="C14" s="32">
        <v>17.711953000000001</v>
      </c>
      <c r="D14" s="32">
        <v>395.279</v>
      </c>
      <c r="E14" s="32">
        <v>43.252000000000002</v>
      </c>
      <c r="F14" s="32">
        <v>270</v>
      </c>
      <c r="G14" s="32">
        <v>0</v>
      </c>
      <c r="H14" s="32">
        <v>200</v>
      </c>
      <c r="I14" s="34">
        <v>1.7389999999999999E-2</v>
      </c>
      <c r="J14" s="34">
        <v>1.7139999999999999E-4</v>
      </c>
      <c r="K14" s="34">
        <v>1.4769999999999999E-5</v>
      </c>
      <c r="L14" s="32">
        <v>2518.7383855701714</v>
      </c>
      <c r="M14" s="32">
        <v>9.5500282071899996</v>
      </c>
      <c r="N14" s="32">
        <v>3.9702416325926928E-4</v>
      </c>
      <c r="O14" s="32">
        <v>0</v>
      </c>
      <c r="P14" s="32">
        <v>0</v>
      </c>
      <c r="Q14" s="32">
        <v>0</v>
      </c>
      <c r="R14" s="32">
        <v>0</v>
      </c>
      <c r="S14" s="32">
        <v>0</v>
      </c>
      <c r="T14" s="32">
        <v>3.9702416325926928E-4</v>
      </c>
      <c r="U14" s="32">
        <v>3.9702416325926928E-4</v>
      </c>
      <c r="V14" s="32">
        <v>3.9702416325926928E-4</v>
      </c>
      <c r="W14" s="32">
        <v>0</v>
      </c>
      <c r="X14" s="32">
        <v>2.7791691428148847E-3</v>
      </c>
      <c r="Y14" s="32">
        <v>0</v>
      </c>
      <c r="Z14" s="32">
        <v>3.1761933060741542E-3</v>
      </c>
      <c r="AA14" s="32">
        <v>0</v>
      </c>
      <c r="AB14" s="32">
        <v>0</v>
      </c>
      <c r="AC14" s="32">
        <v>0</v>
      </c>
    </row>
    <row r="15" spans="1:29" x14ac:dyDescent="0.25">
      <c r="A15" s="32">
        <v>13</v>
      </c>
      <c r="B15" s="32">
        <v>9.5998182868500006</v>
      </c>
      <c r="C15" s="32">
        <v>17.134484</v>
      </c>
      <c r="D15" s="32">
        <v>395.80700000000002</v>
      </c>
      <c r="E15" s="32">
        <v>43.338000000000001</v>
      </c>
      <c r="F15" s="32">
        <v>270</v>
      </c>
      <c r="G15" s="32">
        <v>0</v>
      </c>
      <c r="H15" s="32">
        <v>200</v>
      </c>
      <c r="I15" s="34">
        <v>1.7440000000000001E-2</v>
      </c>
      <c r="J15" s="34">
        <v>1.729E-4</v>
      </c>
      <c r="K15" s="34">
        <v>1.488E-5</v>
      </c>
      <c r="L15" s="32">
        <v>2500.2008610810017</v>
      </c>
      <c r="M15" s="32">
        <v>9.5998182868500006</v>
      </c>
      <c r="N15" s="32">
        <v>0</v>
      </c>
      <c r="O15" s="32">
        <v>0</v>
      </c>
      <c r="P15" s="32">
        <v>0</v>
      </c>
      <c r="Q15" s="32">
        <v>0</v>
      </c>
      <c r="R15" s="32">
        <v>0</v>
      </c>
      <c r="S15" s="32">
        <v>0</v>
      </c>
      <c r="T15" s="32">
        <v>7.9993572961784682E-4</v>
      </c>
      <c r="U15" s="32">
        <v>0</v>
      </c>
      <c r="V15" s="32">
        <v>0</v>
      </c>
      <c r="W15" s="32">
        <v>0</v>
      </c>
      <c r="X15" s="32">
        <v>2.7997750536624638E-3</v>
      </c>
      <c r="Y15" s="32">
        <v>0</v>
      </c>
      <c r="Z15" s="32">
        <v>4.689623214884627E-3</v>
      </c>
      <c r="AA15" s="32">
        <v>0</v>
      </c>
      <c r="AB15" s="32">
        <v>0</v>
      </c>
      <c r="AC15" s="32">
        <v>0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7405" r:id="rId3" name="ScaleDefault">
          <controlPr defaultSize="0" print="0" autoLine="0" r:id="rId4">
            <anchor moveWithCells="1">
              <from>
                <xdr:col>14</xdr:col>
                <xdr:colOff>457200</xdr:colOff>
                <xdr:row>18</xdr:row>
                <xdr:rowOff>123825</xdr:rowOff>
              </from>
              <to>
                <xdr:col>15</xdr:col>
                <xdr:colOff>276225</xdr:colOff>
                <xdr:row>20</xdr:row>
                <xdr:rowOff>19050</xdr:rowOff>
              </to>
            </anchor>
          </controlPr>
        </control>
      </mc:Choice>
      <mc:Fallback>
        <control shapeId="187405" r:id="rId3" name="ScaleDefault"/>
      </mc:Fallback>
    </mc:AlternateContent>
    <mc:AlternateContent xmlns:mc="http://schemas.openxmlformats.org/markup-compatibility/2006">
      <mc:Choice Requires="x14">
        <control shapeId="187404" r:id="rId5" name="ScaleYes">
          <controlPr defaultSize="0" print="0" autoLine="0" r:id="rId6">
            <anchor moveWithCells="1">
              <from>
                <xdr:col>13</xdr:col>
                <xdr:colOff>552450</xdr:colOff>
                <xdr:row>18</xdr:row>
                <xdr:rowOff>123825</xdr:rowOff>
              </from>
              <to>
                <xdr:col>14</xdr:col>
                <xdr:colOff>381000</xdr:colOff>
                <xdr:row>20</xdr:row>
                <xdr:rowOff>19050</xdr:rowOff>
              </to>
            </anchor>
          </controlPr>
        </control>
      </mc:Choice>
      <mc:Fallback>
        <control shapeId="187404" r:id="rId5" name="ScaleYes"/>
      </mc:Fallback>
    </mc:AlternateContent>
    <mc:AlternateContent xmlns:mc="http://schemas.openxmlformats.org/markup-compatibility/2006">
      <mc:Choice Requires="x14">
        <control shapeId="187403" r:id="rId7" name="YScaleMax">
          <controlPr defaultSize="0" print="0" autoLine="0" r:id="rId8">
            <anchor moveWithCells="1">
              <from>
                <xdr:col>14</xdr:col>
                <xdr:colOff>247650</xdr:colOff>
                <xdr:row>17</xdr:row>
                <xdr:rowOff>9525</xdr:rowOff>
              </from>
              <to>
                <xdr:col>15</xdr:col>
                <xdr:colOff>276225</xdr:colOff>
                <xdr:row>18</xdr:row>
                <xdr:rowOff>47625</xdr:rowOff>
              </to>
            </anchor>
          </controlPr>
        </control>
      </mc:Choice>
      <mc:Fallback>
        <control shapeId="187403" r:id="rId7" name="YScaleMax"/>
      </mc:Fallback>
    </mc:AlternateContent>
    <mc:AlternateContent xmlns:mc="http://schemas.openxmlformats.org/markup-compatibility/2006">
      <mc:Choice Requires="x14">
        <control shapeId="187402" r:id="rId9" name="YScaleMin">
          <controlPr defaultSize="0" print="0" autoLine="0" r:id="rId10">
            <anchor moveWithCells="1">
              <from>
                <xdr:col>12</xdr:col>
                <xdr:colOff>533400</xdr:colOff>
                <xdr:row>17</xdr:row>
                <xdr:rowOff>9525</xdr:rowOff>
              </from>
              <to>
                <xdr:col>13</xdr:col>
                <xdr:colOff>552450</xdr:colOff>
                <xdr:row>18</xdr:row>
                <xdr:rowOff>47625</xdr:rowOff>
              </to>
            </anchor>
          </controlPr>
        </control>
      </mc:Choice>
      <mc:Fallback>
        <control shapeId="187402" r:id="rId9" name="YScaleMin"/>
      </mc:Fallback>
    </mc:AlternateContent>
    <mc:AlternateContent xmlns:mc="http://schemas.openxmlformats.org/markup-compatibility/2006">
      <mc:Choice Requires="x14">
        <control shapeId="187401" r:id="rId11" name="Label4">
          <controlPr defaultSize="0" print="0" autoLine="0" r:id="rId12">
            <anchor moveWithCells="1">
              <from>
                <xdr:col>13</xdr:col>
                <xdr:colOff>571500</xdr:colOff>
                <xdr:row>17</xdr:row>
                <xdr:rowOff>38100</xdr:rowOff>
              </from>
              <to>
                <xdr:col>14</xdr:col>
                <xdr:colOff>238125</xdr:colOff>
                <xdr:row>18</xdr:row>
                <xdr:rowOff>76200</xdr:rowOff>
              </to>
            </anchor>
          </controlPr>
        </control>
      </mc:Choice>
      <mc:Fallback>
        <control shapeId="187401" r:id="rId11" name="Label4"/>
      </mc:Fallback>
    </mc:AlternateContent>
    <mc:AlternateContent xmlns:mc="http://schemas.openxmlformats.org/markup-compatibility/2006">
      <mc:Choice Requires="x14">
        <control shapeId="187400" r:id="rId13" name="YScaleLogarithmic">
          <controlPr defaultSize="0" print="0" autoLine="0" r:id="rId14">
            <anchor moveWithCells="1">
              <from>
                <xdr:col>14</xdr:col>
                <xdr:colOff>161925</xdr:colOff>
                <xdr:row>15</xdr:row>
                <xdr:rowOff>161925</xdr:rowOff>
              </from>
              <to>
                <xdr:col>15</xdr:col>
                <xdr:colOff>342900</xdr:colOff>
                <xdr:row>17</xdr:row>
                <xdr:rowOff>9525</xdr:rowOff>
              </to>
            </anchor>
          </controlPr>
        </control>
      </mc:Choice>
      <mc:Fallback>
        <control shapeId="187400" r:id="rId13" name="YScaleLogarithmic"/>
      </mc:Fallback>
    </mc:AlternateContent>
    <mc:AlternateContent xmlns:mc="http://schemas.openxmlformats.org/markup-compatibility/2006">
      <mc:Choice Requires="x14">
        <control shapeId="187399" r:id="rId15" name="Label3">
          <controlPr defaultSize="0" print="0" autoLine="0" r:id="rId16">
            <anchor moveWithCells="1">
              <from>
                <xdr:col>13</xdr:col>
                <xdr:colOff>47625</xdr:colOff>
                <xdr:row>16</xdr:row>
                <xdr:rowOff>0</xdr:rowOff>
              </from>
              <to>
                <xdr:col>14</xdr:col>
                <xdr:colOff>76200</xdr:colOff>
                <xdr:row>17</xdr:row>
                <xdr:rowOff>38100</xdr:rowOff>
              </to>
            </anchor>
          </controlPr>
        </control>
      </mc:Choice>
      <mc:Fallback>
        <control shapeId="187399" r:id="rId15" name="Label3"/>
      </mc:Fallback>
    </mc:AlternateContent>
    <mc:AlternateContent xmlns:mc="http://schemas.openxmlformats.org/markup-compatibility/2006">
      <mc:Choice Requires="x14">
        <control shapeId="187398" r:id="rId17" name="XScaleMax">
          <controlPr defaultSize="0" print="0" autoLine="0" r:id="rId18">
            <anchor moveWithCells="1">
              <from>
                <xdr:col>14</xdr:col>
                <xdr:colOff>247650</xdr:colOff>
                <xdr:row>14</xdr:row>
                <xdr:rowOff>76200</xdr:rowOff>
              </from>
              <to>
                <xdr:col>15</xdr:col>
                <xdr:colOff>276225</xdr:colOff>
                <xdr:row>15</xdr:row>
                <xdr:rowOff>114300</xdr:rowOff>
              </to>
            </anchor>
          </controlPr>
        </control>
      </mc:Choice>
      <mc:Fallback>
        <control shapeId="187398" r:id="rId17" name="XScaleMax"/>
      </mc:Fallback>
    </mc:AlternateContent>
    <mc:AlternateContent xmlns:mc="http://schemas.openxmlformats.org/markup-compatibility/2006">
      <mc:Choice Requires="x14">
        <control shapeId="187397" r:id="rId19" name="XScaleMin">
          <controlPr defaultSize="0" print="0" autoLine="0" r:id="rId20">
            <anchor moveWithCells="1">
              <from>
                <xdr:col>12</xdr:col>
                <xdr:colOff>533400</xdr:colOff>
                <xdr:row>14</xdr:row>
                <xdr:rowOff>76200</xdr:rowOff>
              </from>
              <to>
                <xdr:col>13</xdr:col>
                <xdr:colOff>552450</xdr:colOff>
                <xdr:row>15</xdr:row>
                <xdr:rowOff>114300</xdr:rowOff>
              </to>
            </anchor>
          </controlPr>
        </control>
      </mc:Choice>
      <mc:Fallback>
        <control shapeId="187397" r:id="rId19" name="XScaleMin"/>
      </mc:Fallback>
    </mc:AlternateContent>
    <mc:AlternateContent xmlns:mc="http://schemas.openxmlformats.org/markup-compatibility/2006">
      <mc:Choice Requires="x14">
        <control shapeId="187396" r:id="rId21" name="Label2">
          <controlPr defaultSize="0" print="0" autoLine="0" r:id="rId22">
            <anchor moveWithCells="1">
              <from>
                <xdr:col>13</xdr:col>
                <xdr:colOff>571500</xdr:colOff>
                <xdr:row>14</xdr:row>
                <xdr:rowOff>95250</xdr:rowOff>
              </from>
              <to>
                <xdr:col>14</xdr:col>
                <xdr:colOff>238125</xdr:colOff>
                <xdr:row>15</xdr:row>
                <xdr:rowOff>133350</xdr:rowOff>
              </to>
            </anchor>
          </controlPr>
        </control>
      </mc:Choice>
      <mc:Fallback>
        <control shapeId="187396" r:id="rId21" name="Label2"/>
      </mc:Fallback>
    </mc:AlternateContent>
    <mc:AlternateContent xmlns:mc="http://schemas.openxmlformats.org/markup-compatibility/2006">
      <mc:Choice Requires="x14">
        <control shapeId="187395" r:id="rId23" name="Label1">
          <controlPr defaultSize="0" print="0" autoLine="0" r:id="rId24">
            <anchor moveWithCells="1">
              <from>
                <xdr:col>13</xdr:col>
                <xdr:colOff>390525</xdr:colOff>
                <xdr:row>13</xdr:row>
                <xdr:rowOff>57150</xdr:rowOff>
              </from>
              <to>
                <xdr:col>14</xdr:col>
                <xdr:colOff>419100</xdr:colOff>
                <xdr:row>14</xdr:row>
                <xdr:rowOff>95250</xdr:rowOff>
              </to>
            </anchor>
          </controlPr>
        </control>
      </mc:Choice>
      <mc:Fallback>
        <control shapeId="187395" r:id="rId23" name="Label1"/>
      </mc:Fallback>
    </mc:AlternateContent>
    <mc:AlternateContent xmlns:mc="http://schemas.openxmlformats.org/markup-compatibility/2006">
      <mc:Choice Requires="x14">
        <control shapeId="187394" r:id="rId25" name="FmlListBox">
          <controlPr defaultSize="0" print="0" autoLine="0" r:id="rId26">
            <anchor moveWithCells="1">
              <from>
                <xdr:col>12</xdr:col>
                <xdr:colOff>428625</xdr:colOff>
                <xdr:row>4</xdr:row>
                <xdr:rowOff>76200</xdr:rowOff>
              </from>
              <to>
                <xdr:col>15</xdr:col>
                <xdr:colOff>381000</xdr:colOff>
                <xdr:row>13</xdr:row>
                <xdr:rowOff>19050</xdr:rowOff>
              </to>
            </anchor>
          </controlPr>
        </control>
      </mc:Choice>
      <mc:Fallback>
        <control shapeId="187394" r:id="rId25" name="FmlListBox"/>
      </mc:Fallback>
    </mc:AlternateContent>
    <mc:AlternateContent xmlns:mc="http://schemas.openxmlformats.org/markup-compatibility/2006">
      <mc:Choice Requires="x14">
        <control shapeId="187393" r:id="rId27" name="RngCopy">
          <controlPr defaultSize="0" print="0" autoLine="0" r:id="rId28">
            <anchor moveWithCells="1">
              <from>
                <xdr:col>0</xdr:col>
                <xdr:colOff>581025</xdr:colOff>
                <xdr:row>2</xdr:row>
                <xdr:rowOff>152400</xdr:rowOff>
              </from>
              <to>
                <xdr:col>3</xdr:col>
                <xdr:colOff>19050</xdr:colOff>
                <xdr:row>4</xdr:row>
                <xdr:rowOff>47625</xdr:rowOff>
              </to>
            </anchor>
          </controlPr>
        </control>
      </mc:Choice>
      <mc:Fallback>
        <control shapeId="187393" r:id="rId27" name="RngCop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AC13"/>
  <sheetViews>
    <sheetView workbookViewId="0">
      <selection activeCell="A3" sqref="A3"/>
    </sheetView>
  </sheetViews>
  <sheetFormatPr defaultRowHeight="15" x14ac:dyDescent="0.25"/>
  <cols>
    <col min="1" max="16384" width="9.140625" style="32"/>
  </cols>
  <sheetData>
    <row r="1" spans="1:29" x14ac:dyDescent="0.25">
      <c r="A1" s="32" t="s">
        <v>58</v>
      </c>
      <c r="B1" s="32" t="s">
        <v>29</v>
      </c>
      <c r="M1" s="32" t="s">
        <v>30</v>
      </c>
      <c r="N1" s="32" t="s">
        <v>42</v>
      </c>
      <c r="O1" s="32" t="s">
        <v>45</v>
      </c>
      <c r="P1" s="32" t="s">
        <v>27</v>
      </c>
      <c r="Q1" s="32" t="s">
        <v>44</v>
      </c>
      <c r="V1" s="32" t="s">
        <v>28</v>
      </c>
    </row>
    <row r="2" spans="1:29" x14ac:dyDescent="0.25">
      <c r="A2" s="32" t="s">
        <v>31</v>
      </c>
      <c r="B2" s="32" t="s">
        <v>32</v>
      </c>
      <c r="C2" s="32" t="s">
        <v>33</v>
      </c>
      <c r="D2" s="32" t="s">
        <v>34</v>
      </c>
      <c r="E2" s="32" t="s">
        <v>35</v>
      </c>
      <c r="F2" s="32" t="s">
        <v>36</v>
      </c>
      <c r="G2" s="32" t="s">
        <v>37</v>
      </c>
      <c r="H2" s="32" t="s">
        <v>22</v>
      </c>
      <c r="I2" s="32" t="s">
        <v>38</v>
      </c>
      <c r="J2" s="32" t="s">
        <v>39</v>
      </c>
      <c r="K2" s="32" t="s">
        <v>40</v>
      </c>
      <c r="L2" s="32" t="s">
        <v>41</v>
      </c>
      <c r="M2" s="32" t="s">
        <v>22</v>
      </c>
      <c r="N2" s="32">
        <v>18.001999999999999</v>
      </c>
      <c r="O2" s="32">
        <v>27.988</v>
      </c>
      <c r="P2" s="32">
        <v>31.98</v>
      </c>
      <c r="Q2" s="32">
        <v>43.985999999999997</v>
      </c>
      <c r="R2" s="32">
        <v>44.98</v>
      </c>
      <c r="S2" s="32">
        <v>49.987000000000002</v>
      </c>
      <c r="T2" s="32">
        <v>69.076999999999998</v>
      </c>
      <c r="U2" s="32">
        <v>77.986000000000004</v>
      </c>
      <c r="V2" s="32">
        <v>83.88</v>
      </c>
      <c r="W2" s="32">
        <v>99.974000000000004</v>
      </c>
      <c r="X2" s="32">
        <v>112.093</v>
      </c>
      <c r="Y2" s="32">
        <v>118.967</v>
      </c>
      <c r="Z2" s="32">
        <v>130.96100000000001</v>
      </c>
      <c r="AA2" s="32">
        <v>148.97999999999999</v>
      </c>
      <c r="AB2" s="32">
        <v>167.01599999999999</v>
      </c>
      <c r="AC2" s="32">
        <v>249.917</v>
      </c>
    </row>
    <row r="3" spans="1:29" x14ac:dyDescent="0.25">
      <c r="A3" s="32">
        <v>1</v>
      </c>
      <c r="B3" s="32">
        <v>14.699529393702999</v>
      </c>
      <c r="C3" s="32">
        <v>9.5090109999999992</v>
      </c>
      <c r="D3" s="32">
        <v>396.50099999999998</v>
      </c>
      <c r="E3" s="32">
        <v>0</v>
      </c>
      <c r="F3" s="32">
        <v>120</v>
      </c>
      <c r="G3" s="32">
        <v>0</v>
      </c>
      <c r="H3" s="32">
        <v>400</v>
      </c>
      <c r="I3" s="34">
        <v>1.7979999999999999E-2</v>
      </c>
      <c r="J3" s="34">
        <v>1.7200000000000001E-4</v>
      </c>
      <c r="K3" s="34">
        <v>1.397E-5</v>
      </c>
      <c r="L3" s="32">
        <v>1344.0943220723416</v>
      </c>
      <c r="M3" s="32">
        <v>400</v>
      </c>
      <c r="N3" s="32">
        <v>4.7597106058273157E-2</v>
      </c>
      <c r="O3" s="32">
        <v>0</v>
      </c>
      <c r="P3" s="32">
        <v>4.463972432194434E-3</v>
      </c>
      <c r="Q3" s="32">
        <v>0</v>
      </c>
      <c r="R3" s="32">
        <v>7.2911549725842434E-2</v>
      </c>
      <c r="S3" s="32">
        <v>0</v>
      </c>
      <c r="T3" s="32">
        <v>2.9759816214629561E-3</v>
      </c>
      <c r="U3" s="32">
        <v>1.4879908107314781E-3</v>
      </c>
      <c r="V3" s="32">
        <v>0.30048114434208784</v>
      </c>
      <c r="W3" s="32">
        <v>1.1159931080486086E-2</v>
      </c>
      <c r="X3" s="32">
        <v>8.1839494590231297E-3</v>
      </c>
      <c r="Y3" s="32">
        <v>7.4399540536573903E-4</v>
      </c>
      <c r="Z3" s="32">
        <v>0.4241889803692761</v>
      </c>
      <c r="AA3" s="32">
        <v>2.3063857566337911E-2</v>
      </c>
      <c r="AB3" s="32">
        <v>1.4879908107314781E-2</v>
      </c>
      <c r="AC3" s="32">
        <v>7.5887531347305387E-2</v>
      </c>
    </row>
    <row r="4" spans="1:29" x14ac:dyDescent="0.25">
      <c r="A4" s="32">
        <v>2</v>
      </c>
      <c r="B4" s="32">
        <v>14.698984186543999</v>
      </c>
      <c r="C4" s="32">
        <v>9.200583</v>
      </c>
      <c r="D4" s="32">
        <v>395.93099999999998</v>
      </c>
      <c r="E4" s="32">
        <v>0</v>
      </c>
      <c r="F4" s="32">
        <v>120</v>
      </c>
      <c r="G4" s="32">
        <v>0</v>
      </c>
      <c r="H4" s="32">
        <v>700</v>
      </c>
      <c r="I4" s="34">
        <v>1.7829999999999999E-2</v>
      </c>
      <c r="J4" s="34">
        <v>1.6780000000000001E-4</v>
      </c>
      <c r="K4" s="34">
        <v>1.397E-5</v>
      </c>
      <c r="L4" s="32">
        <v>1342.3162686435926</v>
      </c>
      <c r="M4" s="32">
        <v>700</v>
      </c>
      <c r="N4" s="32">
        <v>4.7641529417371459E-2</v>
      </c>
      <c r="O4" s="32">
        <v>0</v>
      </c>
      <c r="P4" s="32">
        <v>8.1947900483359815E-3</v>
      </c>
      <c r="Q4" s="32">
        <v>1.4713373041330513E-3</v>
      </c>
      <c r="R4" s="32">
        <v>7.1518167694568563E-2</v>
      </c>
      <c r="S4" s="32">
        <v>0</v>
      </c>
      <c r="T4" s="32">
        <v>1.4899618269701785E-3</v>
      </c>
      <c r="U4" s="32">
        <v>4.4698854809105352E-3</v>
      </c>
      <c r="V4" s="32">
        <v>0.26804413267193511</v>
      </c>
      <c r="W4" s="32">
        <v>7.4498091348508917E-3</v>
      </c>
      <c r="X4" s="32">
        <v>4.4698854809105352E-3</v>
      </c>
      <c r="Y4" s="32">
        <v>1.4899618269701785E-3</v>
      </c>
      <c r="Z4" s="32">
        <v>0.33460817729182779</v>
      </c>
      <c r="AA4" s="32">
        <v>1.5719097274535382E-2</v>
      </c>
      <c r="AB4" s="32">
        <v>1.8829392588335627E-2</v>
      </c>
      <c r="AC4" s="32">
        <v>6.7048282213658023E-2</v>
      </c>
    </row>
    <row r="5" spans="1:29" x14ac:dyDescent="0.25">
      <c r="A5" s="32">
        <v>3</v>
      </c>
      <c r="B5" s="32">
        <v>14.699319693854999</v>
      </c>
      <c r="C5" s="32">
        <v>9.0473149999999993</v>
      </c>
      <c r="D5" s="32">
        <v>396.79899999999998</v>
      </c>
      <c r="E5" s="32">
        <v>0</v>
      </c>
      <c r="F5" s="32">
        <v>120</v>
      </c>
      <c r="G5" s="32">
        <v>0</v>
      </c>
      <c r="H5" s="32">
        <v>750</v>
      </c>
      <c r="I5" s="34">
        <v>1.779E-2</v>
      </c>
      <c r="J5" s="34">
        <v>1.672E-4</v>
      </c>
      <c r="K5" s="34">
        <v>1.396E-5</v>
      </c>
      <c r="L5" s="32">
        <v>1345.1639373523053</v>
      </c>
      <c r="M5" s="32">
        <v>750</v>
      </c>
      <c r="N5" s="32">
        <v>4.3749314389021479E-2</v>
      </c>
      <c r="O5" s="32">
        <v>2.2302114386926839E-3</v>
      </c>
      <c r="P5" s="32">
        <v>4.4604228773853678E-3</v>
      </c>
      <c r="Q5" s="32">
        <v>3.698433969165367E-3</v>
      </c>
      <c r="R5" s="32">
        <v>4.4975930680302457E-2</v>
      </c>
      <c r="S5" s="32">
        <v>0</v>
      </c>
      <c r="T5" s="32">
        <v>2.2302114386926839E-3</v>
      </c>
      <c r="U5" s="32">
        <v>5.2038266902829288E-3</v>
      </c>
      <c r="V5" s="32">
        <v>0.27942690817287086</v>
      </c>
      <c r="W5" s="32">
        <v>8.1774419418731738E-3</v>
      </c>
      <c r="X5" s="32">
        <v>2.9736152515902449E-3</v>
      </c>
      <c r="Y5" s="32">
        <v>1.4868076257951225E-3</v>
      </c>
      <c r="Z5" s="32">
        <v>0.3451995605189826</v>
      </c>
      <c r="AA5" s="32">
        <v>1.4645055114081956E-2</v>
      </c>
      <c r="AB5" s="32">
        <v>1.189446100636098E-2</v>
      </c>
      <c r="AC5" s="32">
        <v>7.1682712658647341E-2</v>
      </c>
    </row>
    <row r="6" spans="1:29" x14ac:dyDescent="0.25">
      <c r="A6" s="32">
        <v>4</v>
      </c>
      <c r="B6" s="32">
        <v>14.698732566111</v>
      </c>
      <c r="C6" s="32">
        <v>8.8459149999999998</v>
      </c>
      <c r="D6" s="32">
        <v>397.875</v>
      </c>
      <c r="E6" s="32">
        <v>0</v>
      </c>
      <c r="F6" s="32">
        <v>120</v>
      </c>
      <c r="G6" s="32">
        <v>0</v>
      </c>
      <c r="H6" s="32">
        <v>800</v>
      </c>
      <c r="I6" s="34">
        <v>1.7770000000000001E-2</v>
      </c>
      <c r="J6" s="34">
        <v>1.682E-4</v>
      </c>
      <c r="K6" s="34">
        <v>1.393E-5</v>
      </c>
      <c r="L6" s="32">
        <v>1348.9784886300258</v>
      </c>
      <c r="M6" s="32">
        <v>800</v>
      </c>
      <c r="N6" s="32">
        <v>3.4841178266475925E-2</v>
      </c>
      <c r="O6" s="32">
        <v>1.4826033304883373E-3</v>
      </c>
      <c r="P6" s="32">
        <v>3.3173249519676544E-3</v>
      </c>
      <c r="Q6" s="32">
        <v>2.9652066609766746E-3</v>
      </c>
      <c r="R6" s="32">
        <v>5.5597624893312651E-2</v>
      </c>
      <c r="S6" s="32">
        <v>0</v>
      </c>
      <c r="T6" s="32">
        <v>1.1304850394973571E-3</v>
      </c>
      <c r="U6" s="32">
        <v>9.7666494395919224E-3</v>
      </c>
      <c r="V6" s="32">
        <v>0.24370292244902045</v>
      </c>
      <c r="W6" s="32">
        <v>8.1913834009480647E-3</v>
      </c>
      <c r="X6" s="32">
        <v>8.8956199829300243E-3</v>
      </c>
      <c r="Y6" s="32">
        <v>5.6153601142245775E-3</v>
      </c>
      <c r="Z6" s="32">
        <v>0.31260691223346593</v>
      </c>
      <c r="AA6" s="32">
        <v>2.4462954953057565E-2</v>
      </c>
      <c r="AB6" s="32">
        <v>1.2064684601848844E-2</v>
      </c>
      <c r="AC6" s="32">
        <v>5.3262524647793512E-2</v>
      </c>
    </row>
    <row r="7" spans="1:29" x14ac:dyDescent="0.25">
      <c r="A7" s="32">
        <v>5</v>
      </c>
      <c r="B7" s="32">
        <v>14.699487453254999</v>
      </c>
      <c r="C7" s="32">
        <v>8.5399829999999994</v>
      </c>
      <c r="D7" s="32">
        <v>392.452</v>
      </c>
      <c r="E7" s="32">
        <v>0</v>
      </c>
      <c r="F7" s="32">
        <v>120</v>
      </c>
      <c r="G7" s="32">
        <v>0</v>
      </c>
      <c r="H7" s="32">
        <v>825</v>
      </c>
      <c r="I7" s="34">
        <v>1.779E-2</v>
      </c>
      <c r="J7" s="34">
        <v>1.6780000000000001E-4</v>
      </c>
      <c r="K7" s="34">
        <v>1.396E-5</v>
      </c>
      <c r="L7" s="32">
        <v>1330.380417275471</v>
      </c>
      <c r="M7" s="32">
        <v>825</v>
      </c>
      <c r="N7" s="32">
        <v>3.0066588083066715E-2</v>
      </c>
      <c r="O7" s="32">
        <v>4.5099882124600074E-3</v>
      </c>
      <c r="P7" s="32">
        <v>5.261652914536675E-3</v>
      </c>
      <c r="Q7" s="32">
        <v>1.5033294041533357E-3</v>
      </c>
      <c r="R7" s="32">
        <v>2.9502839556509213E-2</v>
      </c>
      <c r="S7" s="32">
        <v>0</v>
      </c>
      <c r="T7" s="32">
        <v>3.7583235103833394E-3</v>
      </c>
      <c r="U7" s="32">
        <v>1.2026635233226685E-2</v>
      </c>
      <c r="V7" s="32">
        <v>0.25705053649266851</v>
      </c>
      <c r="W7" s="32">
        <v>1.052330582907335E-2</v>
      </c>
      <c r="X7" s="32">
        <v>5.1489032092251743E-3</v>
      </c>
      <c r="Y7" s="32">
        <v>5.3744026198481757E-3</v>
      </c>
      <c r="Z7" s="32">
        <v>0.25609216399752072</v>
      </c>
      <c r="AA7" s="32">
        <v>1.0072307007827349E-2</v>
      </c>
      <c r="AB7" s="32">
        <v>1.2985007728374437E-2</v>
      </c>
      <c r="AC7" s="32">
        <v>4.1341558614216734E-2</v>
      </c>
    </row>
    <row r="8" spans="1:29" x14ac:dyDescent="0.25">
      <c r="A8" s="32">
        <v>6</v>
      </c>
      <c r="B8" s="32">
        <v>14.699529393702999</v>
      </c>
      <c r="C8" s="32">
        <v>8.403321</v>
      </c>
      <c r="D8" s="32">
        <v>398.13</v>
      </c>
      <c r="E8" s="32">
        <v>0</v>
      </c>
      <c r="F8" s="32">
        <v>120</v>
      </c>
      <c r="G8" s="32">
        <v>0</v>
      </c>
      <c r="H8" s="32">
        <v>850</v>
      </c>
      <c r="I8" s="34">
        <v>1.7749999999999998E-2</v>
      </c>
      <c r="J8" s="34">
        <v>1.6640000000000001E-4</v>
      </c>
      <c r="K8" s="34">
        <v>1.3859999999999999E-5</v>
      </c>
      <c r="L8" s="32">
        <v>1349.616451021968</v>
      </c>
      <c r="M8" s="32">
        <v>850</v>
      </c>
      <c r="N8" s="32">
        <v>3.7769990104522123E-2</v>
      </c>
      <c r="O8" s="32">
        <v>5.1866587686445293E-3</v>
      </c>
      <c r="P8" s="32">
        <v>6.2795618663231976E-3</v>
      </c>
      <c r="Q8" s="32">
        <v>2.2228537579905123E-3</v>
      </c>
      <c r="R8" s="32">
        <v>1.8616400223170543E-2</v>
      </c>
      <c r="S8" s="32">
        <v>2.0376159448246367E-4</v>
      </c>
      <c r="T8" s="32">
        <v>7.4095125266350412E-3</v>
      </c>
      <c r="U8" s="32">
        <v>1.5559976305933587E-2</v>
      </c>
      <c r="V8" s="32">
        <v>0.22739793944242939</v>
      </c>
      <c r="W8" s="32">
        <v>7.4465600892682175E-3</v>
      </c>
      <c r="X8" s="32">
        <v>5.1866587686445293E-3</v>
      </c>
      <c r="Y8" s="32">
        <v>8.150463779298546E-3</v>
      </c>
      <c r="Z8" s="32">
        <v>0.19188785065853101</v>
      </c>
      <c r="AA8" s="32">
        <v>1.3855788424807527E-2</v>
      </c>
      <c r="AB8" s="32">
        <v>1.1318030384435025E-2</v>
      </c>
      <c r="AC8" s="32">
        <v>3.1434856894249158E-2</v>
      </c>
    </row>
    <row r="9" spans="1:29" x14ac:dyDescent="0.25">
      <c r="A9" s="32">
        <v>7</v>
      </c>
      <c r="B9" s="32">
        <v>14.699319693854999</v>
      </c>
      <c r="C9" s="32">
        <v>8.1540610000000004</v>
      </c>
      <c r="D9" s="32">
        <v>396.92700000000002</v>
      </c>
      <c r="E9" s="32">
        <v>0</v>
      </c>
      <c r="F9" s="32">
        <v>120</v>
      </c>
      <c r="G9" s="32">
        <v>0</v>
      </c>
      <c r="H9" s="32">
        <v>875</v>
      </c>
      <c r="I9" s="34">
        <v>1.7809999999999999E-2</v>
      </c>
      <c r="J9" s="34">
        <v>1.6760000000000001E-4</v>
      </c>
      <c r="K9" s="34">
        <v>1.4080000000000001E-5</v>
      </c>
      <c r="L9" s="32">
        <v>1345.5978622966252</v>
      </c>
      <c r="M9" s="32">
        <v>875</v>
      </c>
      <c r="N9" s="32">
        <v>2.8946240991733842E-2</v>
      </c>
      <c r="O9" s="32">
        <v>2.9726563277775444E-3</v>
      </c>
      <c r="P9" s="32">
        <v>2.9726563277775444E-3</v>
      </c>
      <c r="Q9" s="32">
        <v>1.4863281638887722E-3</v>
      </c>
      <c r="R9" s="32">
        <v>2.1644653886630248E-2</v>
      </c>
      <c r="S9" s="32">
        <v>7.4316408194438611E-4</v>
      </c>
      <c r="T9" s="32">
        <v>1.2633789393054564E-2</v>
      </c>
      <c r="U9" s="32">
        <v>1.8709155762949924E-2</v>
      </c>
      <c r="V9" s="32">
        <v>0.23547153936407877</v>
      </c>
      <c r="W9" s="32">
        <v>1.0404297147221407E-2</v>
      </c>
      <c r="X9" s="32">
        <v>5.9453126555550889E-3</v>
      </c>
      <c r="Y9" s="32">
        <v>5.4250977981940189E-3</v>
      </c>
      <c r="Z9" s="32">
        <v>0.14187002324318332</v>
      </c>
      <c r="AA9" s="32">
        <v>1.0404297147221407E-2</v>
      </c>
      <c r="AB9" s="32">
        <v>1.4120117556943337E-2</v>
      </c>
      <c r="AC9" s="32">
        <v>2.1124439029269176E-2</v>
      </c>
    </row>
    <row r="10" spans="1:29" x14ac:dyDescent="0.25">
      <c r="A10" s="32">
        <v>8</v>
      </c>
      <c r="B10" s="32">
        <v>14.699948811347999</v>
      </c>
      <c r="C10" s="32">
        <v>7.5519040000000004</v>
      </c>
      <c r="D10" s="32">
        <v>395.84399999999999</v>
      </c>
      <c r="E10" s="32">
        <v>0</v>
      </c>
      <c r="F10" s="32">
        <v>120</v>
      </c>
      <c r="G10" s="32">
        <v>0</v>
      </c>
      <c r="H10" s="32">
        <v>900</v>
      </c>
      <c r="I10" s="34">
        <v>1.779E-2</v>
      </c>
      <c r="J10" s="34">
        <v>1.684E-4</v>
      </c>
      <c r="K10" s="34">
        <v>1.396E-5</v>
      </c>
      <c r="L10" s="32">
        <v>1341.7486049922732</v>
      </c>
      <c r="M10" s="32">
        <v>900</v>
      </c>
      <c r="N10" s="32">
        <v>2.8302619327276058E-2</v>
      </c>
      <c r="O10" s="32">
        <v>4.4531441864509398E-3</v>
      </c>
      <c r="P10" s="32">
        <v>2.235888294452355E-3</v>
      </c>
      <c r="Q10" s="32">
        <v>5.9623687852062793E-3</v>
      </c>
      <c r="R10" s="32">
        <v>9.6888492759602037E-3</v>
      </c>
      <c r="S10" s="32">
        <v>0</v>
      </c>
      <c r="T10" s="32">
        <v>4.863057040433872E-3</v>
      </c>
      <c r="U10" s="32">
        <v>2.1744013663549153E-2</v>
      </c>
      <c r="V10" s="32">
        <v>0.19297579221369199</v>
      </c>
      <c r="W10" s="32">
        <v>5.9623687852062793E-3</v>
      </c>
      <c r="X10" s="32">
        <v>6.7076648833570649E-3</v>
      </c>
      <c r="Y10" s="32">
        <v>7.4529609815078496E-3</v>
      </c>
      <c r="Z10" s="32">
        <v>9.2472613378058649E-2</v>
      </c>
      <c r="AA10" s="32">
        <v>1.341532976671413E-2</v>
      </c>
      <c r="AB10" s="32">
        <v>1.1924737570412559E-2</v>
      </c>
      <c r="AC10" s="32">
        <v>1.7141810257468054E-2</v>
      </c>
    </row>
    <row r="11" spans="1:29" x14ac:dyDescent="0.25">
      <c r="A11" s="32">
        <v>9</v>
      </c>
      <c r="B11" s="32">
        <v>14.699193876819001</v>
      </c>
      <c r="C11" s="32">
        <v>7.4352330000000002</v>
      </c>
      <c r="D11" s="32">
        <v>397.65199999999999</v>
      </c>
      <c r="E11" s="32">
        <v>0</v>
      </c>
      <c r="F11" s="32">
        <v>120</v>
      </c>
      <c r="G11" s="32">
        <v>0</v>
      </c>
      <c r="H11" s="32">
        <v>925</v>
      </c>
      <c r="I11" s="34">
        <v>1.771E-2</v>
      </c>
      <c r="J11" s="34">
        <v>1.682E-4</v>
      </c>
      <c r="K11" s="34">
        <v>1.401E-5</v>
      </c>
      <c r="L11" s="32">
        <v>1348.0913757038886</v>
      </c>
      <c r="M11" s="32">
        <v>925</v>
      </c>
      <c r="N11" s="32">
        <v>2.442341861493523E-2</v>
      </c>
      <c r="O11" s="32">
        <v>5.934315836582593E-3</v>
      </c>
      <c r="P11" s="32">
        <v>2.9671579182912965E-3</v>
      </c>
      <c r="Q11" s="32">
        <v>2.9671579182912965E-3</v>
      </c>
      <c r="R11" s="32">
        <v>4.5434605623835478E-3</v>
      </c>
      <c r="S11" s="32">
        <v>1.6875710660281748E-3</v>
      </c>
      <c r="T11" s="32">
        <v>1.1126842193592361E-2</v>
      </c>
      <c r="U11" s="32">
        <v>2.4738679143753686E-2</v>
      </c>
      <c r="V11" s="32">
        <v>0.18314782250653028</v>
      </c>
      <c r="W11" s="32">
        <v>1.261042115273801E-2</v>
      </c>
      <c r="X11" s="32">
        <v>6.6761053161554168E-3</v>
      </c>
      <c r="Y11" s="32">
        <v>8.1596842753010653E-3</v>
      </c>
      <c r="Z11" s="32">
        <v>6.4257513667995883E-2</v>
      </c>
      <c r="AA11" s="32">
        <v>1.6838621186303106E-2</v>
      </c>
      <c r="AB11" s="32">
        <v>9.3094579686389435E-3</v>
      </c>
      <c r="AC11" s="32">
        <v>9.2167342836923394E-3</v>
      </c>
    </row>
    <row r="12" spans="1:29" x14ac:dyDescent="0.25">
      <c r="A12" s="32">
        <v>10</v>
      </c>
      <c r="B12" s="32">
        <v>14.699655216484</v>
      </c>
      <c r="C12" s="32">
        <v>7.949808</v>
      </c>
      <c r="D12" s="32">
        <v>396.53699999999998</v>
      </c>
      <c r="E12" s="32">
        <v>0</v>
      </c>
      <c r="F12" s="32">
        <v>120</v>
      </c>
      <c r="G12" s="32">
        <v>0</v>
      </c>
      <c r="H12" s="32">
        <v>950</v>
      </c>
      <c r="I12" s="34">
        <v>1.7330000000000002E-2</v>
      </c>
      <c r="J12" s="34">
        <v>1.696E-4</v>
      </c>
      <c r="K12" s="34">
        <v>1.436E-5</v>
      </c>
      <c r="L12" s="32">
        <v>1344.1807262802204</v>
      </c>
      <c r="M12" s="32">
        <v>950</v>
      </c>
      <c r="N12" s="32">
        <v>5.4289574737427793E-2</v>
      </c>
      <c r="O12" s="32">
        <v>1.1159213717867995E-2</v>
      </c>
      <c r="P12" s="32">
        <v>6.6955282307207976E-3</v>
      </c>
      <c r="Q12" s="32">
        <v>8.1834233931031963E-3</v>
      </c>
      <c r="R12" s="32">
        <v>2.9757903247647987E-3</v>
      </c>
      <c r="S12" s="32">
        <v>3.7197379059559985E-3</v>
      </c>
      <c r="T12" s="32">
        <v>1.0805838616802175E-2</v>
      </c>
      <c r="U12" s="32">
        <v>3.4965536315986388E-2</v>
      </c>
      <c r="V12" s="32">
        <v>0.31604753117955142</v>
      </c>
      <c r="W12" s="32">
        <v>1.8635886908839553E-2</v>
      </c>
      <c r="X12" s="32">
        <v>7.4394758119119969E-3</v>
      </c>
      <c r="Y12" s="32">
        <v>1.0099088414670535E-2</v>
      </c>
      <c r="Z12" s="32">
        <v>6.3774906397615586E-2</v>
      </c>
      <c r="AA12" s="32">
        <v>1.6664425818682872E-2</v>
      </c>
      <c r="AB12" s="32">
        <v>1.9751808280626351E-2</v>
      </c>
      <c r="AC12" s="32">
        <v>5.9515806495295974E-3</v>
      </c>
    </row>
    <row r="13" spans="1:29" x14ac:dyDescent="0.25">
      <c r="A13" s="32">
        <v>11</v>
      </c>
      <c r="B13" s="32">
        <v>14.698774502251</v>
      </c>
      <c r="C13" s="32">
        <v>7.7909230000000003</v>
      </c>
      <c r="D13" s="32">
        <v>395.077</v>
      </c>
      <c r="E13" s="32">
        <v>0</v>
      </c>
      <c r="F13" s="32">
        <v>120</v>
      </c>
      <c r="G13" s="32">
        <v>0</v>
      </c>
      <c r="H13" s="32">
        <v>975</v>
      </c>
      <c r="I13" s="34">
        <v>1.7229999999999999E-2</v>
      </c>
      <c r="J13" s="34">
        <v>1.716E-4</v>
      </c>
      <c r="K13" s="34">
        <v>1.451E-5</v>
      </c>
      <c r="L13" s="32">
        <v>1339.4801506972531</v>
      </c>
      <c r="M13" s="32">
        <v>975</v>
      </c>
      <c r="N13" s="32">
        <v>4.9254182651125786E-2</v>
      </c>
      <c r="O13" s="32">
        <v>1.2691490793014603E-2</v>
      </c>
      <c r="P13" s="32">
        <v>4.4793496916522126E-3</v>
      </c>
      <c r="Q13" s="32">
        <v>4.4606857346036616E-3</v>
      </c>
      <c r="R13" s="32">
        <v>2.2396748458261063E-3</v>
      </c>
      <c r="S13" s="32">
        <v>5.6365150286623675E-3</v>
      </c>
      <c r="T13" s="32">
        <v>1.9410515330492921E-2</v>
      </c>
      <c r="U13" s="32">
        <v>2.0157073612434958E-2</v>
      </c>
      <c r="V13" s="32">
        <v>0.2731096834914451</v>
      </c>
      <c r="W13" s="32">
        <v>3.1392775755662586E-2</v>
      </c>
      <c r="X13" s="32">
        <v>9.9105611927805207E-3</v>
      </c>
      <c r="Y13" s="32">
        <v>9.3879703954210959E-3</v>
      </c>
      <c r="Z13" s="32">
        <v>4.0855401979277894E-2</v>
      </c>
      <c r="AA13" s="32">
        <v>2.3665897537562524E-2</v>
      </c>
      <c r="AB13" s="32">
        <v>1.791739876660885E-2</v>
      </c>
      <c r="AC13" s="32">
        <v>3.3035203975935066E-3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9453" r:id="rId3" name="ScaleDefault">
          <controlPr defaultSize="0" print="0" autoLine="0" r:id="rId4">
            <anchor moveWithCells="1">
              <from>
                <xdr:col>14</xdr:col>
                <xdr:colOff>457200</xdr:colOff>
                <xdr:row>18</xdr:row>
                <xdr:rowOff>123825</xdr:rowOff>
              </from>
              <to>
                <xdr:col>15</xdr:col>
                <xdr:colOff>276225</xdr:colOff>
                <xdr:row>20</xdr:row>
                <xdr:rowOff>19050</xdr:rowOff>
              </to>
            </anchor>
          </controlPr>
        </control>
      </mc:Choice>
      <mc:Fallback>
        <control shapeId="189453" r:id="rId3" name="ScaleDefault"/>
      </mc:Fallback>
    </mc:AlternateContent>
    <mc:AlternateContent xmlns:mc="http://schemas.openxmlformats.org/markup-compatibility/2006">
      <mc:Choice Requires="x14">
        <control shapeId="189452" r:id="rId5" name="ScaleYes">
          <controlPr defaultSize="0" print="0" autoLine="0" r:id="rId6">
            <anchor moveWithCells="1">
              <from>
                <xdr:col>13</xdr:col>
                <xdr:colOff>552450</xdr:colOff>
                <xdr:row>18</xdr:row>
                <xdr:rowOff>123825</xdr:rowOff>
              </from>
              <to>
                <xdr:col>14</xdr:col>
                <xdr:colOff>381000</xdr:colOff>
                <xdr:row>20</xdr:row>
                <xdr:rowOff>19050</xdr:rowOff>
              </to>
            </anchor>
          </controlPr>
        </control>
      </mc:Choice>
      <mc:Fallback>
        <control shapeId="189452" r:id="rId5" name="ScaleYes"/>
      </mc:Fallback>
    </mc:AlternateContent>
    <mc:AlternateContent xmlns:mc="http://schemas.openxmlformats.org/markup-compatibility/2006">
      <mc:Choice Requires="x14">
        <control shapeId="189451" r:id="rId7" name="YScaleMax">
          <controlPr defaultSize="0" print="0" autoLine="0" r:id="rId8">
            <anchor moveWithCells="1">
              <from>
                <xdr:col>14</xdr:col>
                <xdr:colOff>247650</xdr:colOff>
                <xdr:row>17</xdr:row>
                <xdr:rowOff>9525</xdr:rowOff>
              </from>
              <to>
                <xdr:col>15</xdr:col>
                <xdr:colOff>276225</xdr:colOff>
                <xdr:row>18</xdr:row>
                <xdr:rowOff>47625</xdr:rowOff>
              </to>
            </anchor>
          </controlPr>
        </control>
      </mc:Choice>
      <mc:Fallback>
        <control shapeId="189451" r:id="rId7" name="YScaleMax"/>
      </mc:Fallback>
    </mc:AlternateContent>
    <mc:AlternateContent xmlns:mc="http://schemas.openxmlformats.org/markup-compatibility/2006">
      <mc:Choice Requires="x14">
        <control shapeId="189450" r:id="rId9" name="YScaleMin">
          <controlPr defaultSize="0" print="0" autoLine="0" r:id="rId10">
            <anchor moveWithCells="1">
              <from>
                <xdr:col>12</xdr:col>
                <xdr:colOff>533400</xdr:colOff>
                <xdr:row>17</xdr:row>
                <xdr:rowOff>9525</xdr:rowOff>
              </from>
              <to>
                <xdr:col>13</xdr:col>
                <xdr:colOff>552450</xdr:colOff>
                <xdr:row>18</xdr:row>
                <xdr:rowOff>47625</xdr:rowOff>
              </to>
            </anchor>
          </controlPr>
        </control>
      </mc:Choice>
      <mc:Fallback>
        <control shapeId="189450" r:id="rId9" name="YScaleMin"/>
      </mc:Fallback>
    </mc:AlternateContent>
    <mc:AlternateContent xmlns:mc="http://schemas.openxmlformats.org/markup-compatibility/2006">
      <mc:Choice Requires="x14">
        <control shapeId="189449" r:id="rId11" name="Label4">
          <controlPr defaultSize="0" print="0" autoLine="0" r:id="rId12">
            <anchor moveWithCells="1">
              <from>
                <xdr:col>13</xdr:col>
                <xdr:colOff>571500</xdr:colOff>
                <xdr:row>17</xdr:row>
                <xdr:rowOff>38100</xdr:rowOff>
              </from>
              <to>
                <xdr:col>14</xdr:col>
                <xdr:colOff>238125</xdr:colOff>
                <xdr:row>18</xdr:row>
                <xdr:rowOff>76200</xdr:rowOff>
              </to>
            </anchor>
          </controlPr>
        </control>
      </mc:Choice>
      <mc:Fallback>
        <control shapeId="189449" r:id="rId11" name="Label4"/>
      </mc:Fallback>
    </mc:AlternateContent>
    <mc:AlternateContent xmlns:mc="http://schemas.openxmlformats.org/markup-compatibility/2006">
      <mc:Choice Requires="x14">
        <control shapeId="189448" r:id="rId13" name="YScaleLogarithmic">
          <controlPr defaultSize="0" print="0" autoLine="0" r:id="rId14">
            <anchor moveWithCells="1">
              <from>
                <xdr:col>14</xdr:col>
                <xdr:colOff>161925</xdr:colOff>
                <xdr:row>15</xdr:row>
                <xdr:rowOff>161925</xdr:rowOff>
              </from>
              <to>
                <xdr:col>15</xdr:col>
                <xdr:colOff>342900</xdr:colOff>
                <xdr:row>17</xdr:row>
                <xdr:rowOff>9525</xdr:rowOff>
              </to>
            </anchor>
          </controlPr>
        </control>
      </mc:Choice>
      <mc:Fallback>
        <control shapeId="189448" r:id="rId13" name="YScaleLogarithmic"/>
      </mc:Fallback>
    </mc:AlternateContent>
    <mc:AlternateContent xmlns:mc="http://schemas.openxmlformats.org/markup-compatibility/2006">
      <mc:Choice Requires="x14">
        <control shapeId="189447" r:id="rId15" name="Label3">
          <controlPr defaultSize="0" print="0" autoLine="0" r:id="rId16">
            <anchor moveWithCells="1">
              <from>
                <xdr:col>13</xdr:col>
                <xdr:colOff>47625</xdr:colOff>
                <xdr:row>16</xdr:row>
                <xdr:rowOff>0</xdr:rowOff>
              </from>
              <to>
                <xdr:col>14</xdr:col>
                <xdr:colOff>76200</xdr:colOff>
                <xdr:row>17</xdr:row>
                <xdr:rowOff>38100</xdr:rowOff>
              </to>
            </anchor>
          </controlPr>
        </control>
      </mc:Choice>
      <mc:Fallback>
        <control shapeId="189447" r:id="rId15" name="Label3"/>
      </mc:Fallback>
    </mc:AlternateContent>
    <mc:AlternateContent xmlns:mc="http://schemas.openxmlformats.org/markup-compatibility/2006">
      <mc:Choice Requires="x14">
        <control shapeId="189446" r:id="rId17" name="XScaleMax">
          <controlPr defaultSize="0" print="0" autoLine="0" r:id="rId18">
            <anchor moveWithCells="1">
              <from>
                <xdr:col>14</xdr:col>
                <xdr:colOff>247650</xdr:colOff>
                <xdr:row>14</xdr:row>
                <xdr:rowOff>76200</xdr:rowOff>
              </from>
              <to>
                <xdr:col>15</xdr:col>
                <xdr:colOff>276225</xdr:colOff>
                <xdr:row>15</xdr:row>
                <xdr:rowOff>114300</xdr:rowOff>
              </to>
            </anchor>
          </controlPr>
        </control>
      </mc:Choice>
      <mc:Fallback>
        <control shapeId="189446" r:id="rId17" name="XScaleMax"/>
      </mc:Fallback>
    </mc:AlternateContent>
    <mc:AlternateContent xmlns:mc="http://schemas.openxmlformats.org/markup-compatibility/2006">
      <mc:Choice Requires="x14">
        <control shapeId="189445" r:id="rId19" name="XScaleMin">
          <controlPr defaultSize="0" print="0" autoLine="0" r:id="rId20">
            <anchor moveWithCells="1">
              <from>
                <xdr:col>12</xdr:col>
                <xdr:colOff>533400</xdr:colOff>
                <xdr:row>14</xdr:row>
                <xdr:rowOff>76200</xdr:rowOff>
              </from>
              <to>
                <xdr:col>13</xdr:col>
                <xdr:colOff>552450</xdr:colOff>
                <xdr:row>15</xdr:row>
                <xdr:rowOff>114300</xdr:rowOff>
              </to>
            </anchor>
          </controlPr>
        </control>
      </mc:Choice>
      <mc:Fallback>
        <control shapeId="189445" r:id="rId19" name="XScaleMin"/>
      </mc:Fallback>
    </mc:AlternateContent>
    <mc:AlternateContent xmlns:mc="http://schemas.openxmlformats.org/markup-compatibility/2006">
      <mc:Choice Requires="x14">
        <control shapeId="189444" r:id="rId21" name="Label2">
          <controlPr defaultSize="0" print="0" autoLine="0" r:id="rId22">
            <anchor moveWithCells="1">
              <from>
                <xdr:col>13</xdr:col>
                <xdr:colOff>571500</xdr:colOff>
                <xdr:row>14</xdr:row>
                <xdr:rowOff>95250</xdr:rowOff>
              </from>
              <to>
                <xdr:col>14</xdr:col>
                <xdr:colOff>238125</xdr:colOff>
                <xdr:row>15</xdr:row>
                <xdr:rowOff>133350</xdr:rowOff>
              </to>
            </anchor>
          </controlPr>
        </control>
      </mc:Choice>
      <mc:Fallback>
        <control shapeId="189444" r:id="rId21" name="Label2"/>
      </mc:Fallback>
    </mc:AlternateContent>
    <mc:AlternateContent xmlns:mc="http://schemas.openxmlformats.org/markup-compatibility/2006">
      <mc:Choice Requires="x14">
        <control shapeId="189443" r:id="rId23" name="Label1">
          <controlPr defaultSize="0" print="0" autoLine="0" r:id="rId24">
            <anchor moveWithCells="1">
              <from>
                <xdr:col>13</xdr:col>
                <xdr:colOff>390525</xdr:colOff>
                <xdr:row>13</xdr:row>
                <xdr:rowOff>57150</xdr:rowOff>
              </from>
              <to>
                <xdr:col>14</xdr:col>
                <xdr:colOff>419100</xdr:colOff>
                <xdr:row>14</xdr:row>
                <xdr:rowOff>95250</xdr:rowOff>
              </to>
            </anchor>
          </controlPr>
        </control>
      </mc:Choice>
      <mc:Fallback>
        <control shapeId="189443" r:id="rId23" name="Label1"/>
      </mc:Fallback>
    </mc:AlternateContent>
    <mc:AlternateContent xmlns:mc="http://schemas.openxmlformats.org/markup-compatibility/2006">
      <mc:Choice Requires="x14">
        <control shapeId="189442" r:id="rId25" name="FmlListBox">
          <controlPr defaultSize="0" print="0" autoLine="0" r:id="rId26">
            <anchor moveWithCells="1">
              <from>
                <xdr:col>12</xdr:col>
                <xdr:colOff>428625</xdr:colOff>
                <xdr:row>4</xdr:row>
                <xdr:rowOff>76200</xdr:rowOff>
              </from>
              <to>
                <xdr:col>15</xdr:col>
                <xdr:colOff>381000</xdr:colOff>
                <xdr:row>13</xdr:row>
                <xdr:rowOff>19050</xdr:rowOff>
              </to>
            </anchor>
          </controlPr>
        </control>
      </mc:Choice>
      <mc:Fallback>
        <control shapeId="189442" r:id="rId25" name="FmlListBox"/>
      </mc:Fallback>
    </mc:AlternateContent>
    <mc:AlternateContent xmlns:mc="http://schemas.openxmlformats.org/markup-compatibility/2006">
      <mc:Choice Requires="x14">
        <control shapeId="189441" r:id="rId27" name="RngCopy">
          <controlPr defaultSize="0" print="0" autoLine="0" r:id="rId28">
            <anchor moveWithCells="1">
              <from>
                <xdr:col>0</xdr:col>
                <xdr:colOff>581025</xdr:colOff>
                <xdr:row>2</xdr:row>
                <xdr:rowOff>152400</xdr:rowOff>
              </from>
              <to>
                <xdr:col>3</xdr:col>
                <xdr:colOff>19050</xdr:colOff>
                <xdr:row>4</xdr:row>
                <xdr:rowOff>47625</xdr:rowOff>
              </to>
            </anchor>
          </controlPr>
        </control>
      </mc:Choice>
      <mc:Fallback>
        <control shapeId="189441" r:id="rId27" name="RngCop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AC13"/>
  <sheetViews>
    <sheetView workbookViewId="0"/>
  </sheetViews>
  <sheetFormatPr defaultRowHeight="15" x14ac:dyDescent="0.25"/>
  <cols>
    <col min="1" max="16384" width="9.140625" style="32"/>
  </cols>
  <sheetData>
    <row r="1" spans="1:29" x14ac:dyDescent="0.25">
      <c r="A1" s="32" t="s">
        <v>58</v>
      </c>
      <c r="B1" s="32" t="s">
        <v>29</v>
      </c>
      <c r="M1" s="32" t="s">
        <v>30</v>
      </c>
      <c r="N1" s="32" t="s">
        <v>42</v>
      </c>
      <c r="O1" s="32" t="s">
        <v>45</v>
      </c>
      <c r="P1" s="32" t="s">
        <v>27</v>
      </c>
      <c r="Q1" s="32" t="s">
        <v>44</v>
      </c>
      <c r="V1" s="32" t="s">
        <v>28</v>
      </c>
    </row>
    <row r="2" spans="1:29" x14ac:dyDescent="0.25">
      <c r="A2" s="32" t="s">
        <v>31</v>
      </c>
      <c r="B2" s="32" t="s">
        <v>32</v>
      </c>
      <c r="C2" s="32" t="s">
        <v>33</v>
      </c>
      <c r="D2" s="32" t="s">
        <v>34</v>
      </c>
      <c r="E2" s="32" t="s">
        <v>35</v>
      </c>
      <c r="F2" s="32" t="s">
        <v>36</v>
      </c>
      <c r="G2" s="32" t="s">
        <v>37</v>
      </c>
      <c r="H2" s="32" t="s">
        <v>22</v>
      </c>
      <c r="I2" s="32" t="s">
        <v>38</v>
      </c>
      <c r="J2" s="32" t="s">
        <v>39</v>
      </c>
      <c r="K2" s="32" t="s">
        <v>40</v>
      </c>
      <c r="L2" s="32" t="s">
        <v>41</v>
      </c>
      <c r="M2" s="32" t="s">
        <v>22</v>
      </c>
      <c r="N2" s="32">
        <v>18.001999999999999</v>
      </c>
      <c r="O2" s="32">
        <v>27.988</v>
      </c>
      <c r="P2" s="32">
        <v>31.98</v>
      </c>
      <c r="Q2" s="32">
        <v>43.985999999999997</v>
      </c>
      <c r="R2" s="32">
        <v>44.98</v>
      </c>
      <c r="S2" s="32">
        <v>49.987000000000002</v>
      </c>
      <c r="T2" s="32">
        <v>69.076999999999998</v>
      </c>
      <c r="U2" s="32">
        <v>77.986000000000004</v>
      </c>
      <c r="V2" s="32">
        <v>83.88</v>
      </c>
      <c r="W2" s="32">
        <v>99.974000000000004</v>
      </c>
      <c r="X2" s="32">
        <v>112.093</v>
      </c>
      <c r="Y2" s="32">
        <v>118.967</v>
      </c>
      <c r="Z2" s="32">
        <v>130.96100000000001</v>
      </c>
      <c r="AA2" s="32">
        <v>148.97999999999999</v>
      </c>
      <c r="AB2" s="32">
        <v>167.01599999999999</v>
      </c>
      <c r="AC2" s="32">
        <v>249.917</v>
      </c>
    </row>
    <row r="3" spans="1:29" x14ac:dyDescent="0.25">
      <c r="A3" s="32">
        <v>1</v>
      </c>
      <c r="B3" s="32">
        <v>14.699529393702999</v>
      </c>
      <c r="C3" s="32">
        <v>9.5090109999999992</v>
      </c>
      <c r="D3" s="32">
        <v>396.50099999999998</v>
      </c>
      <c r="E3" s="32">
        <v>0</v>
      </c>
      <c r="F3" s="32">
        <v>120</v>
      </c>
      <c r="G3" s="32">
        <v>0</v>
      </c>
      <c r="H3" s="32">
        <v>400</v>
      </c>
      <c r="I3" s="34">
        <v>1.7979999999999999E-2</v>
      </c>
      <c r="J3" s="34">
        <v>1.7200000000000001E-4</v>
      </c>
      <c r="K3" s="34">
        <v>1.397E-5</v>
      </c>
      <c r="L3" s="32">
        <v>1344.0943220723416</v>
      </c>
      <c r="M3" s="32">
        <v>400</v>
      </c>
      <c r="N3" s="32">
        <v>4.7597106058273157E-2</v>
      </c>
      <c r="O3" s="32">
        <v>0</v>
      </c>
      <c r="P3" s="32">
        <v>4.463972432194434E-3</v>
      </c>
      <c r="Q3" s="32">
        <v>0</v>
      </c>
      <c r="R3" s="32">
        <v>7.2911549725842434E-2</v>
      </c>
      <c r="S3" s="32">
        <v>0</v>
      </c>
      <c r="T3" s="32">
        <v>2.9759816214629561E-3</v>
      </c>
      <c r="U3" s="32">
        <v>1.4879908107314781E-3</v>
      </c>
      <c r="V3" s="32">
        <v>0.30048114434208784</v>
      </c>
      <c r="W3" s="32">
        <v>1.1159931080486086E-2</v>
      </c>
      <c r="X3" s="32">
        <v>8.1839494590231297E-3</v>
      </c>
      <c r="Y3" s="32">
        <v>7.4399540536573903E-4</v>
      </c>
      <c r="Z3" s="32">
        <v>0.4241889803692761</v>
      </c>
      <c r="AA3" s="32">
        <v>2.3063857566337911E-2</v>
      </c>
      <c r="AB3" s="32">
        <v>1.4879908107314781E-2</v>
      </c>
      <c r="AC3" s="32">
        <v>7.5887531347305387E-2</v>
      </c>
    </row>
    <row r="4" spans="1:29" x14ac:dyDescent="0.25">
      <c r="A4" s="32">
        <v>2</v>
      </c>
      <c r="B4" s="32">
        <v>14.698984186543999</v>
      </c>
      <c r="C4" s="32">
        <v>9.200583</v>
      </c>
      <c r="D4" s="32">
        <v>395.93099999999998</v>
      </c>
      <c r="E4" s="32">
        <v>0</v>
      </c>
      <c r="F4" s="32">
        <v>120</v>
      </c>
      <c r="G4" s="32">
        <v>0</v>
      </c>
      <c r="H4" s="32">
        <v>700</v>
      </c>
      <c r="I4" s="34">
        <v>1.7829999999999999E-2</v>
      </c>
      <c r="J4" s="34">
        <v>1.6780000000000001E-4</v>
      </c>
      <c r="K4" s="34">
        <v>1.397E-5</v>
      </c>
      <c r="L4" s="32">
        <v>1342.3162686435926</v>
      </c>
      <c r="M4" s="32">
        <v>700</v>
      </c>
      <c r="N4" s="32">
        <v>4.7641529417371459E-2</v>
      </c>
      <c r="O4" s="32">
        <v>0</v>
      </c>
      <c r="P4" s="32">
        <v>8.1947900483359815E-3</v>
      </c>
      <c r="Q4" s="32">
        <v>1.4713373041330513E-3</v>
      </c>
      <c r="R4" s="32">
        <v>7.1518167694568563E-2</v>
      </c>
      <c r="S4" s="32">
        <v>0</v>
      </c>
      <c r="T4" s="32">
        <v>1.4899618269701785E-3</v>
      </c>
      <c r="U4" s="32">
        <v>4.4698854809105352E-3</v>
      </c>
      <c r="V4" s="32">
        <v>0.26804413267193511</v>
      </c>
      <c r="W4" s="32">
        <v>7.4498091348508917E-3</v>
      </c>
      <c r="X4" s="32">
        <v>4.4698854809105352E-3</v>
      </c>
      <c r="Y4" s="32">
        <v>1.4899618269701785E-3</v>
      </c>
      <c r="Z4" s="32">
        <v>0.33460817729182779</v>
      </c>
      <c r="AA4" s="32">
        <v>1.5719097274535382E-2</v>
      </c>
      <c r="AB4" s="32">
        <v>1.8829392588335627E-2</v>
      </c>
      <c r="AC4" s="32">
        <v>6.7048282213658023E-2</v>
      </c>
    </row>
    <row r="5" spans="1:29" x14ac:dyDescent="0.25">
      <c r="A5" s="32">
        <v>3</v>
      </c>
      <c r="B5" s="32">
        <v>14.699319693854999</v>
      </c>
      <c r="C5" s="32">
        <v>9.0473149999999993</v>
      </c>
      <c r="D5" s="32">
        <v>396.79899999999998</v>
      </c>
      <c r="E5" s="32">
        <v>0</v>
      </c>
      <c r="F5" s="32">
        <v>120</v>
      </c>
      <c r="G5" s="32">
        <v>0</v>
      </c>
      <c r="H5" s="32">
        <v>750</v>
      </c>
      <c r="I5" s="34">
        <v>1.779E-2</v>
      </c>
      <c r="J5" s="34">
        <v>1.672E-4</v>
      </c>
      <c r="K5" s="34">
        <v>1.396E-5</v>
      </c>
      <c r="L5" s="32">
        <v>1345.1639373523053</v>
      </c>
      <c r="M5" s="32">
        <v>750</v>
      </c>
      <c r="N5" s="32">
        <v>4.3749314389021479E-2</v>
      </c>
      <c r="O5" s="32">
        <v>2.2302114386926839E-3</v>
      </c>
      <c r="P5" s="32">
        <v>4.4604228773853678E-3</v>
      </c>
      <c r="Q5" s="32">
        <v>3.698433969165367E-3</v>
      </c>
      <c r="R5" s="32">
        <v>4.4975930680302457E-2</v>
      </c>
      <c r="S5" s="32">
        <v>0</v>
      </c>
      <c r="T5" s="32">
        <v>2.2302114386926839E-3</v>
      </c>
      <c r="U5" s="32">
        <v>5.2038266902829288E-3</v>
      </c>
      <c r="V5" s="32">
        <v>0.27942690817287086</v>
      </c>
      <c r="W5" s="32">
        <v>8.1774419418731738E-3</v>
      </c>
      <c r="X5" s="32">
        <v>2.9736152515902449E-3</v>
      </c>
      <c r="Y5" s="32">
        <v>1.4868076257951225E-3</v>
      </c>
      <c r="Z5" s="32">
        <v>0.3451995605189826</v>
      </c>
      <c r="AA5" s="32">
        <v>1.4645055114081956E-2</v>
      </c>
      <c r="AB5" s="32">
        <v>1.189446100636098E-2</v>
      </c>
      <c r="AC5" s="32">
        <v>7.1682712658647341E-2</v>
      </c>
    </row>
    <row r="6" spans="1:29" x14ac:dyDescent="0.25">
      <c r="A6" s="32">
        <v>4</v>
      </c>
      <c r="B6" s="32">
        <v>14.698732566111</v>
      </c>
      <c r="C6" s="32">
        <v>8.8459149999999998</v>
      </c>
      <c r="D6" s="32">
        <v>397.875</v>
      </c>
      <c r="E6" s="32">
        <v>0</v>
      </c>
      <c r="F6" s="32">
        <v>120</v>
      </c>
      <c r="G6" s="32">
        <v>0</v>
      </c>
      <c r="H6" s="32">
        <v>800</v>
      </c>
      <c r="I6" s="34">
        <v>1.7770000000000001E-2</v>
      </c>
      <c r="J6" s="34">
        <v>1.682E-4</v>
      </c>
      <c r="K6" s="34">
        <v>1.393E-5</v>
      </c>
      <c r="L6" s="32">
        <v>1348.9784886300258</v>
      </c>
      <c r="M6" s="32">
        <v>800</v>
      </c>
      <c r="N6" s="32">
        <v>3.4841178266475925E-2</v>
      </c>
      <c r="O6" s="32">
        <v>1.4826033304883373E-3</v>
      </c>
      <c r="P6" s="32">
        <v>3.3173249519676544E-3</v>
      </c>
      <c r="Q6" s="32">
        <v>2.9652066609766746E-3</v>
      </c>
      <c r="R6" s="32">
        <v>5.5597624893312651E-2</v>
      </c>
      <c r="S6" s="32">
        <v>0</v>
      </c>
      <c r="T6" s="32">
        <v>1.1304850394973571E-3</v>
      </c>
      <c r="U6" s="32">
        <v>9.7666494395919224E-3</v>
      </c>
      <c r="V6" s="32">
        <v>0.24370292244902045</v>
      </c>
      <c r="W6" s="32">
        <v>8.1913834009480647E-3</v>
      </c>
      <c r="X6" s="32">
        <v>8.8956199829300243E-3</v>
      </c>
      <c r="Y6" s="32">
        <v>5.6153601142245775E-3</v>
      </c>
      <c r="Z6" s="32">
        <v>0.31260691223346593</v>
      </c>
      <c r="AA6" s="32">
        <v>2.4462954953057565E-2</v>
      </c>
      <c r="AB6" s="32">
        <v>1.2064684601848844E-2</v>
      </c>
      <c r="AC6" s="32">
        <v>5.3262524647793512E-2</v>
      </c>
    </row>
    <row r="7" spans="1:29" x14ac:dyDescent="0.25">
      <c r="A7" s="32">
        <v>5</v>
      </c>
      <c r="B7" s="32">
        <v>14.699487453254999</v>
      </c>
      <c r="C7" s="32">
        <v>8.5399829999999994</v>
      </c>
      <c r="D7" s="32">
        <v>392.452</v>
      </c>
      <c r="E7" s="32">
        <v>0</v>
      </c>
      <c r="F7" s="32">
        <v>120</v>
      </c>
      <c r="G7" s="32">
        <v>0</v>
      </c>
      <c r="H7" s="32">
        <v>825</v>
      </c>
      <c r="I7" s="34">
        <v>1.779E-2</v>
      </c>
      <c r="J7" s="34">
        <v>1.6780000000000001E-4</v>
      </c>
      <c r="K7" s="34">
        <v>1.396E-5</v>
      </c>
      <c r="L7" s="32">
        <v>1330.380417275471</v>
      </c>
      <c r="M7" s="32">
        <v>825</v>
      </c>
      <c r="N7" s="32">
        <v>3.0066588083066715E-2</v>
      </c>
      <c r="O7" s="32">
        <v>4.5099882124600074E-3</v>
      </c>
      <c r="P7" s="32">
        <v>5.261652914536675E-3</v>
      </c>
      <c r="Q7" s="32">
        <v>1.5033294041533357E-3</v>
      </c>
      <c r="R7" s="32">
        <v>2.9502839556509213E-2</v>
      </c>
      <c r="S7" s="32">
        <v>0</v>
      </c>
      <c r="T7" s="32">
        <v>3.7583235103833394E-3</v>
      </c>
      <c r="U7" s="32">
        <v>1.2026635233226685E-2</v>
      </c>
      <c r="V7" s="32">
        <v>0.25705053649266851</v>
      </c>
      <c r="W7" s="32">
        <v>1.052330582907335E-2</v>
      </c>
      <c r="X7" s="32">
        <v>5.1489032092251743E-3</v>
      </c>
      <c r="Y7" s="32">
        <v>5.3744026198481757E-3</v>
      </c>
      <c r="Z7" s="32">
        <v>0.25609216399752072</v>
      </c>
      <c r="AA7" s="32">
        <v>1.0072307007827349E-2</v>
      </c>
      <c r="AB7" s="32">
        <v>1.2985007728374437E-2</v>
      </c>
      <c r="AC7" s="32">
        <v>4.1341558614216734E-2</v>
      </c>
    </row>
    <row r="8" spans="1:29" x14ac:dyDescent="0.25">
      <c r="A8" s="32">
        <v>6</v>
      </c>
      <c r="B8" s="32">
        <v>14.699529393702999</v>
      </c>
      <c r="C8" s="32">
        <v>8.403321</v>
      </c>
      <c r="D8" s="32">
        <v>398.13</v>
      </c>
      <c r="E8" s="32">
        <v>0</v>
      </c>
      <c r="F8" s="32">
        <v>120</v>
      </c>
      <c r="G8" s="32">
        <v>0</v>
      </c>
      <c r="H8" s="32">
        <v>850</v>
      </c>
      <c r="I8" s="34">
        <v>1.7749999999999998E-2</v>
      </c>
      <c r="J8" s="34">
        <v>1.6640000000000001E-4</v>
      </c>
      <c r="K8" s="34">
        <v>1.3859999999999999E-5</v>
      </c>
      <c r="L8" s="32">
        <v>1349.616451021968</v>
      </c>
      <c r="M8" s="32">
        <v>850</v>
      </c>
      <c r="N8" s="32">
        <v>3.7769990104522123E-2</v>
      </c>
      <c r="O8" s="32">
        <v>5.1866587686445293E-3</v>
      </c>
      <c r="P8" s="32">
        <v>6.2795618663231976E-3</v>
      </c>
      <c r="Q8" s="32">
        <v>2.2228537579905123E-3</v>
      </c>
      <c r="R8" s="32">
        <v>1.8616400223170543E-2</v>
      </c>
      <c r="S8" s="32">
        <v>2.0376159448246367E-4</v>
      </c>
      <c r="T8" s="32">
        <v>7.4095125266350412E-3</v>
      </c>
      <c r="U8" s="32">
        <v>1.5559976305933587E-2</v>
      </c>
      <c r="V8" s="32">
        <v>0.22739793944242939</v>
      </c>
      <c r="W8" s="32">
        <v>7.4465600892682175E-3</v>
      </c>
      <c r="X8" s="32">
        <v>5.1866587686445293E-3</v>
      </c>
      <c r="Y8" s="32">
        <v>8.150463779298546E-3</v>
      </c>
      <c r="Z8" s="32">
        <v>0.19188785065853101</v>
      </c>
      <c r="AA8" s="32">
        <v>1.3855788424807527E-2</v>
      </c>
      <c r="AB8" s="32">
        <v>1.1318030384435025E-2</v>
      </c>
      <c r="AC8" s="32">
        <v>3.1434856894249158E-2</v>
      </c>
    </row>
    <row r="9" spans="1:29" x14ac:dyDescent="0.25">
      <c r="A9" s="32">
        <v>7</v>
      </c>
      <c r="B9" s="32">
        <v>14.699319693854999</v>
      </c>
      <c r="C9" s="32">
        <v>8.1540610000000004</v>
      </c>
      <c r="D9" s="32">
        <v>396.92700000000002</v>
      </c>
      <c r="E9" s="32">
        <v>0</v>
      </c>
      <c r="F9" s="32">
        <v>120</v>
      </c>
      <c r="G9" s="32">
        <v>0</v>
      </c>
      <c r="H9" s="32">
        <v>875</v>
      </c>
      <c r="I9" s="34">
        <v>1.7809999999999999E-2</v>
      </c>
      <c r="J9" s="34">
        <v>1.6760000000000001E-4</v>
      </c>
      <c r="K9" s="34">
        <v>1.4080000000000001E-5</v>
      </c>
      <c r="L9" s="32">
        <v>1345.5978622966252</v>
      </c>
      <c r="M9" s="32">
        <v>875</v>
      </c>
      <c r="N9" s="32">
        <v>2.8946240991733842E-2</v>
      </c>
      <c r="O9" s="32">
        <v>2.9726563277775444E-3</v>
      </c>
      <c r="P9" s="32">
        <v>2.9726563277775444E-3</v>
      </c>
      <c r="Q9" s="32">
        <v>1.4863281638887722E-3</v>
      </c>
      <c r="R9" s="32">
        <v>2.1644653886630248E-2</v>
      </c>
      <c r="S9" s="32">
        <v>7.4316408194438611E-4</v>
      </c>
      <c r="T9" s="32">
        <v>1.2633789393054564E-2</v>
      </c>
      <c r="U9" s="32">
        <v>1.8709155762949924E-2</v>
      </c>
      <c r="V9" s="32">
        <v>0.23547153936407877</v>
      </c>
      <c r="W9" s="32">
        <v>1.0404297147221407E-2</v>
      </c>
      <c r="X9" s="32">
        <v>5.9453126555550889E-3</v>
      </c>
      <c r="Y9" s="32">
        <v>5.4250977981940189E-3</v>
      </c>
      <c r="Z9" s="32">
        <v>0.14187002324318332</v>
      </c>
      <c r="AA9" s="32">
        <v>1.0404297147221407E-2</v>
      </c>
      <c r="AB9" s="32">
        <v>1.4120117556943337E-2</v>
      </c>
      <c r="AC9" s="32">
        <v>2.1124439029269176E-2</v>
      </c>
    </row>
    <row r="10" spans="1:29" x14ac:dyDescent="0.25">
      <c r="A10" s="32">
        <v>8</v>
      </c>
      <c r="B10" s="32">
        <v>14.699948811347999</v>
      </c>
      <c r="C10" s="32">
        <v>7.5519040000000004</v>
      </c>
      <c r="D10" s="32">
        <v>395.84399999999999</v>
      </c>
      <c r="E10" s="32">
        <v>0</v>
      </c>
      <c r="F10" s="32">
        <v>120</v>
      </c>
      <c r="G10" s="32">
        <v>0</v>
      </c>
      <c r="H10" s="32">
        <v>900</v>
      </c>
      <c r="I10" s="34">
        <v>1.779E-2</v>
      </c>
      <c r="J10" s="34">
        <v>1.684E-4</v>
      </c>
      <c r="K10" s="34">
        <v>1.396E-5</v>
      </c>
      <c r="L10" s="32">
        <v>1341.7486049922732</v>
      </c>
      <c r="M10" s="32">
        <v>900</v>
      </c>
      <c r="N10" s="32">
        <v>2.8302619327276058E-2</v>
      </c>
      <c r="O10" s="32">
        <v>4.4531441864509398E-3</v>
      </c>
      <c r="P10" s="32">
        <v>2.235888294452355E-3</v>
      </c>
      <c r="Q10" s="32">
        <v>5.9623687852062793E-3</v>
      </c>
      <c r="R10" s="32">
        <v>9.6888492759602037E-3</v>
      </c>
      <c r="S10" s="32">
        <v>0</v>
      </c>
      <c r="T10" s="32">
        <v>4.863057040433872E-3</v>
      </c>
      <c r="U10" s="32">
        <v>2.1744013663549153E-2</v>
      </c>
      <c r="V10" s="32">
        <v>0.19297579221369199</v>
      </c>
      <c r="W10" s="32">
        <v>5.9623687852062793E-3</v>
      </c>
      <c r="X10" s="32">
        <v>6.7076648833570649E-3</v>
      </c>
      <c r="Y10" s="32">
        <v>7.4529609815078496E-3</v>
      </c>
      <c r="Z10" s="32">
        <v>9.2472613378058649E-2</v>
      </c>
      <c r="AA10" s="32">
        <v>1.341532976671413E-2</v>
      </c>
      <c r="AB10" s="32">
        <v>1.1924737570412559E-2</v>
      </c>
      <c r="AC10" s="32">
        <v>1.7141810257468054E-2</v>
      </c>
    </row>
    <row r="11" spans="1:29" x14ac:dyDescent="0.25">
      <c r="A11" s="32">
        <v>9</v>
      </c>
      <c r="B11" s="32">
        <v>14.699193876819001</v>
      </c>
      <c r="C11" s="32">
        <v>7.4352330000000002</v>
      </c>
      <c r="D11" s="32">
        <v>397.65199999999999</v>
      </c>
      <c r="E11" s="32">
        <v>0</v>
      </c>
      <c r="F11" s="32">
        <v>120</v>
      </c>
      <c r="G11" s="32">
        <v>0</v>
      </c>
      <c r="H11" s="32">
        <v>925</v>
      </c>
      <c r="I11" s="34">
        <v>1.771E-2</v>
      </c>
      <c r="J11" s="34">
        <v>1.682E-4</v>
      </c>
      <c r="K11" s="34">
        <v>1.401E-5</v>
      </c>
      <c r="L11" s="32">
        <v>1348.0913757038886</v>
      </c>
      <c r="M11" s="32">
        <v>925</v>
      </c>
      <c r="N11" s="32">
        <v>2.442341861493523E-2</v>
      </c>
      <c r="O11" s="32">
        <v>5.934315836582593E-3</v>
      </c>
      <c r="P11" s="32">
        <v>2.9671579182912965E-3</v>
      </c>
      <c r="Q11" s="32">
        <v>2.9671579182912965E-3</v>
      </c>
      <c r="R11" s="32">
        <v>4.5434605623835478E-3</v>
      </c>
      <c r="S11" s="32">
        <v>1.6875710660281748E-3</v>
      </c>
      <c r="T11" s="32">
        <v>1.1126842193592361E-2</v>
      </c>
      <c r="U11" s="32">
        <v>2.4738679143753686E-2</v>
      </c>
      <c r="V11" s="32">
        <v>0.18314782250653028</v>
      </c>
      <c r="W11" s="32">
        <v>1.261042115273801E-2</v>
      </c>
      <c r="X11" s="32">
        <v>6.6761053161554168E-3</v>
      </c>
      <c r="Y11" s="32">
        <v>8.1596842753010653E-3</v>
      </c>
      <c r="Z11" s="32">
        <v>6.4257513667995883E-2</v>
      </c>
      <c r="AA11" s="32">
        <v>1.6838621186303106E-2</v>
      </c>
      <c r="AB11" s="32">
        <v>9.3094579686389435E-3</v>
      </c>
      <c r="AC11" s="32">
        <v>9.2167342836923394E-3</v>
      </c>
    </row>
    <row r="12" spans="1:29" x14ac:dyDescent="0.25">
      <c r="A12" s="32">
        <v>10</v>
      </c>
      <c r="B12" s="32">
        <v>14.699655216484</v>
      </c>
      <c r="C12" s="32">
        <v>7.949808</v>
      </c>
      <c r="D12" s="32">
        <v>396.53699999999998</v>
      </c>
      <c r="E12" s="32">
        <v>0</v>
      </c>
      <c r="F12" s="32">
        <v>120</v>
      </c>
      <c r="G12" s="32">
        <v>0</v>
      </c>
      <c r="H12" s="32">
        <v>950</v>
      </c>
      <c r="I12" s="34">
        <v>1.7330000000000002E-2</v>
      </c>
      <c r="J12" s="34">
        <v>1.696E-4</v>
      </c>
      <c r="K12" s="34">
        <v>1.436E-5</v>
      </c>
      <c r="L12" s="32">
        <v>1344.1807262802204</v>
      </c>
      <c r="M12" s="32">
        <v>950</v>
      </c>
      <c r="N12" s="32">
        <v>5.4289574737427793E-2</v>
      </c>
      <c r="O12" s="32">
        <v>1.1159213717867995E-2</v>
      </c>
      <c r="P12" s="32">
        <v>6.6955282307207976E-3</v>
      </c>
      <c r="Q12" s="32">
        <v>8.1834233931031963E-3</v>
      </c>
      <c r="R12" s="32">
        <v>2.9757903247647987E-3</v>
      </c>
      <c r="S12" s="32">
        <v>3.7197379059559985E-3</v>
      </c>
      <c r="T12" s="32">
        <v>1.0805838616802175E-2</v>
      </c>
      <c r="U12" s="32">
        <v>3.4965536315986388E-2</v>
      </c>
      <c r="V12" s="32">
        <v>0.31604753117955142</v>
      </c>
      <c r="W12" s="32">
        <v>1.8635886908839553E-2</v>
      </c>
      <c r="X12" s="32">
        <v>7.4394758119119969E-3</v>
      </c>
      <c r="Y12" s="32">
        <v>1.0099088414670535E-2</v>
      </c>
      <c r="Z12" s="32">
        <v>6.3774906397615586E-2</v>
      </c>
      <c r="AA12" s="32">
        <v>1.6664425818682872E-2</v>
      </c>
      <c r="AB12" s="32">
        <v>1.9751808280626351E-2</v>
      </c>
      <c r="AC12" s="32">
        <v>5.9515806495295974E-3</v>
      </c>
    </row>
    <row r="13" spans="1:29" x14ac:dyDescent="0.25">
      <c r="A13" s="32">
        <v>11</v>
      </c>
      <c r="B13" s="32">
        <v>14.698774502251</v>
      </c>
      <c r="C13" s="32">
        <v>7.7909230000000003</v>
      </c>
      <c r="D13" s="32">
        <v>395.077</v>
      </c>
      <c r="E13" s="32">
        <v>0</v>
      </c>
      <c r="F13" s="32">
        <v>120</v>
      </c>
      <c r="G13" s="32">
        <v>0</v>
      </c>
      <c r="H13" s="32">
        <v>975</v>
      </c>
      <c r="I13" s="34">
        <v>1.7229999999999999E-2</v>
      </c>
      <c r="J13" s="34">
        <v>1.716E-4</v>
      </c>
      <c r="K13" s="34">
        <v>1.451E-5</v>
      </c>
      <c r="L13" s="32">
        <v>1339.4801506972531</v>
      </c>
      <c r="M13" s="32">
        <v>975</v>
      </c>
      <c r="N13" s="32">
        <v>4.9254182651125786E-2</v>
      </c>
      <c r="O13" s="32">
        <v>1.2691490793014603E-2</v>
      </c>
      <c r="P13" s="32">
        <v>4.4793496916522126E-3</v>
      </c>
      <c r="Q13" s="32">
        <v>4.4606857346036616E-3</v>
      </c>
      <c r="R13" s="32">
        <v>2.2396748458261063E-3</v>
      </c>
      <c r="S13" s="32">
        <v>5.6365150286623675E-3</v>
      </c>
      <c r="T13" s="32">
        <v>1.9410515330492921E-2</v>
      </c>
      <c r="U13" s="32">
        <v>2.0157073612434958E-2</v>
      </c>
      <c r="V13" s="32">
        <v>0.2731096834914451</v>
      </c>
      <c r="W13" s="32">
        <v>3.1392775755662586E-2</v>
      </c>
      <c r="X13" s="32">
        <v>9.9105611927805207E-3</v>
      </c>
      <c r="Y13" s="32">
        <v>9.3879703954210959E-3</v>
      </c>
      <c r="Z13" s="32">
        <v>4.0855401979277894E-2</v>
      </c>
      <c r="AA13" s="32">
        <v>2.3665897537562524E-2</v>
      </c>
      <c r="AB13" s="32">
        <v>1.791739876660885E-2</v>
      </c>
      <c r="AC13" s="32">
        <v>3.3035203975935066E-3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0477" r:id="rId3" name="ScaleDefault">
          <controlPr defaultSize="0" print="0" autoLine="0" r:id="rId4">
            <anchor moveWithCells="1">
              <from>
                <xdr:col>14</xdr:col>
                <xdr:colOff>457200</xdr:colOff>
                <xdr:row>18</xdr:row>
                <xdr:rowOff>123825</xdr:rowOff>
              </from>
              <to>
                <xdr:col>15</xdr:col>
                <xdr:colOff>276225</xdr:colOff>
                <xdr:row>20</xdr:row>
                <xdr:rowOff>19050</xdr:rowOff>
              </to>
            </anchor>
          </controlPr>
        </control>
      </mc:Choice>
      <mc:Fallback>
        <control shapeId="190477" r:id="rId3" name="ScaleDefault"/>
      </mc:Fallback>
    </mc:AlternateContent>
    <mc:AlternateContent xmlns:mc="http://schemas.openxmlformats.org/markup-compatibility/2006">
      <mc:Choice Requires="x14">
        <control shapeId="190476" r:id="rId5" name="ScaleYes">
          <controlPr defaultSize="0" print="0" autoLine="0" r:id="rId6">
            <anchor moveWithCells="1">
              <from>
                <xdr:col>13</xdr:col>
                <xdr:colOff>552450</xdr:colOff>
                <xdr:row>18</xdr:row>
                <xdr:rowOff>123825</xdr:rowOff>
              </from>
              <to>
                <xdr:col>14</xdr:col>
                <xdr:colOff>381000</xdr:colOff>
                <xdr:row>20</xdr:row>
                <xdr:rowOff>19050</xdr:rowOff>
              </to>
            </anchor>
          </controlPr>
        </control>
      </mc:Choice>
      <mc:Fallback>
        <control shapeId="190476" r:id="rId5" name="ScaleYes"/>
      </mc:Fallback>
    </mc:AlternateContent>
    <mc:AlternateContent xmlns:mc="http://schemas.openxmlformats.org/markup-compatibility/2006">
      <mc:Choice Requires="x14">
        <control shapeId="190475" r:id="rId7" name="YScaleMax">
          <controlPr defaultSize="0" print="0" autoLine="0" r:id="rId8">
            <anchor moveWithCells="1">
              <from>
                <xdr:col>14</xdr:col>
                <xdr:colOff>247650</xdr:colOff>
                <xdr:row>17</xdr:row>
                <xdr:rowOff>9525</xdr:rowOff>
              </from>
              <to>
                <xdr:col>15</xdr:col>
                <xdr:colOff>276225</xdr:colOff>
                <xdr:row>18</xdr:row>
                <xdr:rowOff>47625</xdr:rowOff>
              </to>
            </anchor>
          </controlPr>
        </control>
      </mc:Choice>
      <mc:Fallback>
        <control shapeId="190475" r:id="rId7" name="YScaleMax"/>
      </mc:Fallback>
    </mc:AlternateContent>
    <mc:AlternateContent xmlns:mc="http://schemas.openxmlformats.org/markup-compatibility/2006">
      <mc:Choice Requires="x14">
        <control shapeId="190474" r:id="rId9" name="YScaleMin">
          <controlPr defaultSize="0" print="0" autoLine="0" r:id="rId10">
            <anchor moveWithCells="1">
              <from>
                <xdr:col>12</xdr:col>
                <xdr:colOff>533400</xdr:colOff>
                <xdr:row>17</xdr:row>
                <xdr:rowOff>9525</xdr:rowOff>
              </from>
              <to>
                <xdr:col>13</xdr:col>
                <xdr:colOff>552450</xdr:colOff>
                <xdr:row>18</xdr:row>
                <xdr:rowOff>47625</xdr:rowOff>
              </to>
            </anchor>
          </controlPr>
        </control>
      </mc:Choice>
      <mc:Fallback>
        <control shapeId="190474" r:id="rId9" name="YScaleMin"/>
      </mc:Fallback>
    </mc:AlternateContent>
    <mc:AlternateContent xmlns:mc="http://schemas.openxmlformats.org/markup-compatibility/2006">
      <mc:Choice Requires="x14">
        <control shapeId="190473" r:id="rId11" name="Label4">
          <controlPr defaultSize="0" print="0" autoLine="0" r:id="rId12">
            <anchor moveWithCells="1">
              <from>
                <xdr:col>13</xdr:col>
                <xdr:colOff>571500</xdr:colOff>
                <xdr:row>17</xdr:row>
                <xdr:rowOff>38100</xdr:rowOff>
              </from>
              <to>
                <xdr:col>14</xdr:col>
                <xdr:colOff>238125</xdr:colOff>
                <xdr:row>18</xdr:row>
                <xdr:rowOff>76200</xdr:rowOff>
              </to>
            </anchor>
          </controlPr>
        </control>
      </mc:Choice>
      <mc:Fallback>
        <control shapeId="190473" r:id="rId11" name="Label4"/>
      </mc:Fallback>
    </mc:AlternateContent>
    <mc:AlternateContent xmlns:mc="http://schemas.openxmlformats.org/markup-compatibility/2006">
      <mc:Choice Requires="x14">
        <control shapeId="190472" r:id="rId13" name="YScaleLogarithmic">
          <controlPr defaultSize="0" print="0" autoLine="0" r:id="rId14">
            <anchor moveWithCells="1">
              <from>
                <xdr:col>14</xdr:col>
                <xdr:colOff>161925</xdr:colOff>
                <xdr:row>15</xdr:row>
                <xdr:rowOff>161925</xdr:rowOff>
              </from>
              <to>
                <xdr:col>15</xdr:col>
                <xdr:colOff>342900</xdr:colOff>
                <xdr:row>17</xdr:row>
                <xdr:rowOff>9525</xdr:rowOff>
              </to>
            </anchor>
          </controlPr>
        </control>
      </mc:Choice>
      <mc:Fallback>
        <control shapeId="190472" r:id="rId13" name="YScaleLogarithmic"/>
      </mc:Fallback>
    </mc:AlternateContent>
    <mc:AlternateContent xmlns:mc="http://schemas.openxmlformats.org/markup-compatibility/2006">
      <mc:Choice Requires="x14">
        <control shapeId="190471" r:id="rId15" name="Label3">
          <controlPr defaultSize="0" print="0" autoLine="0" r:id="rId16">
            <anchor moveWithCells="1">
              <from>
                <xdr:col>13</xdr:col>
                <xdr:colOff>47625</xdr:colOff>
                <xdr:row>16</xdr:row>
                <xdr:rowOff>0</xdr:rowOff>
              </from>
              <to>
                <xdr:col>14</xdr:col>
                <xdr:colOff>76200</xdr:colOff>
                <xdr:row>17</xdr:row>
                <xdr:rowOff>38100</xdr:rowOff>
              </to>
            </anchor>
          </controlPr>
        </control>
      </mc:Choice>
      <mc:Fallback>
        <control shapeId="190471" r:id="rId15" name="Label3"/>
      </mc:Fallback>
    </mc:AlternateContent>
    <mc:AlternateContent xmlns:mc="http://schemas.openxmlformats.org/markup-compatibility/2006">
      <mc:Choice Requires="x14">
        <control shapeId="190470" r:id="rId17" name="XScaleMax">
          <controlPr defaultSize="0" print="0" autoLine="0" r:id="rId18">
            <anchor moveWithCells="1">
              <from>
                <xdr:col>14</xdr:col>
                <xdr:colOff>247650</xdr:colOff>
                <xdr:row>14</xdr:row>
                <xdr:rowOff>76200</xdr:rowOff>
              </from>
              <to>
                <xdr:col>15</xdr:col>
                <xdr:colOff>276225</xdr:colOff>
                <xdr:row>15</xdr:row>
                <xdr:rowOff>114300</xdr:rowOff>
              </to>
            </anchor>
          </controlPr>
        </control>
      </mc:Choice>
      <mc:Fallback>
        <control shapeId="190470" r:id="rId17" name="XScaleMax"/>
      </mc:Fallback>
    </mc:AlternateContent>
    <mc:AlternateContent xmlns:mc="http://schemas.openxmlformats.org/markup-compatibility/2006">
      <mc:Choice Requires="x14">
        <control shapeId="190469" r:id="rId19" name="XScaleMin">
          <controlPr defaultSize="0" print="0" autoLine="0" r:id="rId20">
            <anchor moveWithCells="1">
              <from>
                <xdr:col>12</xdr:col>
                <xdr:colOff>533400</xdr:colOff>
                <xdr:row>14</xdr:row>
                <xdr:rowOff>76200</xdr:rowOff>
              </from>
              <to>
                <xdr:col>13</xdr:col>
                <xdr:colOff>552450</xdr:colOff>
                <xdr:row>15</xdr:row>
                <xdr:rowOff>114300</xdr:rowOff>
              </to>
            </anchor>
          </controlPr>
        </control>
      </mc:Choice>
      <mc:Fallback>
        <control shapeId="190469" r:id="rId19" name="XScaleMin"/>
      </mc:Fallback>
    </mc:AlternateContent>
    <mc:AlternateContent xmlns:mc="http://schemas.openxmlformats.org/markup-compatibility/2006">
      <mc:Choice Requires="x14">
        <control shapeId="190468" r:id="rId21" name="Label2">
          <controlPr defaultSize="0" print="0" autoLine="0" r:id="rId22">
            <anchor moveWithCells="1">
              <from>
                <xdr:col>13</xdr:col>
                <xdr:colOff>571500</xdr:colOff>
                <xdr:row>14</xdr:row>
                <xdr:rowOff>95250</xdr:rowOff>
              </from>
              <to>
                <xdr:col>14</xdr:col>
                <xdr:colOff>238125</xdr:colOff>
                <xdr:row>15</xdr:row>
                <xdr:rowOff>133350</xdr:rowOff>
              </to>
            </anchor>
          </controlPr>
        </control>
      </mc:Choice>
      <mc:Fallback>
        <control shapeId="190468" r:id="rId21" name="Label2"/>
      </mc:Fallback>
    </mc:AlternateContent>
    <mc:AlternateContent xmlns:mc="http://schemas.openxmlformats.org/markup-compatibility/2006">
      <mc:Choice Requires="x14">
        <control shapeId="190467" r:id="rId23" name="Label1">
          <controlPr defaultSize="0" print="0" autoLine="0" r:id="rId24">
            <anchor moveWithCells="1">
              <from>
                <xdr:col>13</xdr:col>
                <xdr:colOff>390525</xdr:colOff>
                <xdr:row>13</xdr:row>
                <xdr:rowOff>57150</xdr:rowOff>
              </from>
              <to>
                <xdr:col>14</xdr:col>
                <xdr:colOff>419100</xdr:colOff>
                <xdr:row>14</xdr:row>
                <xdr:rowOff>95250</xdr:rowOff>
              </to>
            </anchor>
          </controlPr>
        </control>
      </mc:Choice>
      <mc:Fallback>
        <control shapeId="190467" r:id="rId23" name="Label1"/>
      </mc:Fallback>
    </mc:AlternateContent>
    <mc:AlternateContent xmlns:mc="http://schemas.openxmlformats.org/markup-compatibility/2006">
      <mc:Choice Requires="x14">
        <control shapeId="190466" r:id="rId25" name="FmlListBox">
          <controlPr defaultSize="0" print="0" autoLine="0" r:id="rId26">
            <anchor moveWithCells="1">
              <from>
                <xdr:col>12</xdr:col>
                <xdr:colOff>428625</xdr:colOff>
                <xdr:row>4</xdr:row>
                <xdr:rowOff>76200</xdr:rowOff>
              </from>
              <to>
                <xdr:col>15</xdr:col>
                <xdr:colOff>381000</xdr:colOff>
                <xdr:row>13</xdr:row>
                <xdr:rowOff>19050</xdr:rowOff>
              </to>
            </anchor>
          </controlPr>
        </control>
      </mc:Choice>
      <mc:Fallback>
        <control shapeId="190466" r:id="rId25" name="FmlListBox"/>
      </mc:Fallback>
    </mc:AlternateContent>
    <mc:AlternateContent xmlns:mc="http://schemas.openxmlformats.org/markup-compatibility/2006">
      <mc:Choice Requires="x14">
        <control shapeId="190465" r:id="rId27" name="RngCopy">
          <controlPr defaultSize="0" print="0" autoLine="0" r:id="rId28">
            <anchor moveWithCells="1">
              <from>
                <xdr:col>0</xdr:col>
                <xdr:colOff>581025</xdr:colOff>
                <xdr:row>2</xdr:row>
                <xdr:rowOff>152400</xdr:rowOff>
              </from>
              <to>
                <xdr:col>3</xdr:col>
                <xdr:colOff>19050</xdr:colOff>
                <xdr:row>4</xdr:row>
                <xdr:rowOff>47625</xdr:rowOff>
              </to>
            </anchor>
          </controlPr>
        </control>
      </mc:Choice>
      <mc:Fallback>
        <control shapeId="190465" r:id="rId27" name="RngCop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AC3"/>
  <sheetViews>
    <sheetView workbookViewId="0"/>
  </sheetViews>
  <sheetFormatPr defaultRowHeight="15" x14ac:dyDescent="0.25"/>
  <cols>
    <col min="1" max="16384" width="9.140625" style="32"/>
  </cols>
  <sheetData>
    <row r="1" spans="1:29" x14ac:dyDescent="0.25">
      <c r="A1" s="32" t="s">
        <v>66</v>
      </c>
      <c r="B1" s="32" t="s">
        <v>29</v>
      </c>
      <c r="M1" s="32" t="s">
        <v>30</v>
      </c>
      <c r="N1" s="32" t="s">
        <v>42</v>
      </c>
      <c r="O1" s="32" t="s">
        <v>45</v>
      </c>
      <c r="P1" s="32" t="s">
        <v>27</v>
      </c>
      <c r="Q1" s="32" t="s">
        <v>44</v>
      </c>
      <c r="V1" s="32" t="s">
        <v>28</v>
      </c>
    </row>
    <row r="2" spans="1:29" x14ac:dyDescent="0.25">
      <c r="A2" s="32" t="s">
        <v>31</v>
      </c>
      <c r="B2" s="32" t="s">
        <v>32</v>
      </c>
      <c r="C2" s="32" t="s">
        <v>33</v>
      </c>
      <c r="D2" s="32" t="s">
        <v>34</v>
      </c>
      <c r="E2" s="32" t="s">
        <v>35</v>
      </c>
      <c r="F2" s="32" t="s">
        <v>36</v>
      </c>
      <c r="G2" s="32" t="s">
        <v>37</v>
      </c>
      <c r="H2" s="32" t="s">
        <v>22</v>
      </c>
      <c r="I2" s="32" t="s">
        <v>38</v>
      </c>
      <c r="J2" s="32" t="s">
        <v>39</v>
      </c>
      <c r="K2" s="32" t="s">
        <v>40</v>
      </c>
      <c r="L2" s="32" t="s">
        <v>41</v>
      </c>
      <c r="M2" s="32" t="s">
        <v>22</v>
      </c>
      <c r="N2" s="32">
        <v>18.001999999999999</v>
      </c>
      <c r="O2" s="32">
        <v>27.988</v>
      </c>
      <c r="P2" s="32">
        <v>31.98</v>
      </c>
      <c r="Q2" s="32">
        <v>43.985999999999997</v>
      </c>
      <c r="R2" s="32">
        <v>44.98</v>
      </c>
      <c r="S2" s="32">
        <v>49.987000000000002</v>
      </c>
      <c r="T2" s="32">
        <v>69.076999999999998</v>
      </c>
      <c r="U2" s="32">
        <v>77.986000000000004</v>
      </c>
      <c r="V2" s="32">
        <v>83.88</v>
      </c>
      <c r="W2" s="32">
        <v>99.974000000000004</v>
      </c>
      <c r="X2" s="32">
        <v>112.093</v>
      </c>
      <c r="Y2" s="32">
        <v>118.967</v>
      </c>
      <c r="Z2" s="32">
        <v>130.96100000000001</v>
      </c>
      <c r="AA2" s="32">
        <v>148.97999999999999</v>
      </c>
      <c r="AB2" s="32">
        <v>167.01599999999999</v>
      </c>
      <c r="AC2" s="32">
        <v>249.917</v>
      </c>
    </row>
    <row r="3" spans="1:29" x14ac:dyDescent="0.25">
      <c r="A3" s="32">
        <v>1</v>
      </c>
      <c r="B3" s="32">
        <v>9.4998760035550003</v>
      </c>
      <c r="C3" s="32">
        <v>18.415596000000001</v>
      </c>
      <c r="D3" s="32">
        <v>397.803</v>
      </c>
      <c r="E3" s="32">
        <v>43.164999999999999</v>
      </c>
      <c r="F3" s="32">
        <v>300</v>
      </c>
      <c r="G3" s="32">
        <v>0</v>
      </c>
      <c r="H3" s="32">
        <v>200</v>
      </c>
      <c r="I3" s="34">
        <v>1.7500000000000002E-2</v>
      </c>
      <c r="J3" s="34">
        <v>1.7000000000000001E-4</v>
      </c>
      <c r="K3" s="34">
        <v>1.434E-5</v>
      </c>
      <c r="L3" s="32">
        <v>2557.3873079460336</v>
      </c>
      <c r="M3" s="32">
        <v>200</v>
      </c>
      <c r="N3" s="32">
        <v>0</v>
      </c>
      <c r="O3" s="32">
        <v>0</v>
      </c>
      <c r="P3" s="32">
        <v>0</v>
      </c>
      <c r="Q3" s="32">
        <v>0</v>
      </c>
      <c r="R3" s="32">
        <v>3.9102407245586522E-4</v>
      </c>
      <c r="S3" s="32">
        <v>0</v>
      </c>
      <c r="T3" s="32">
        <v>0</v>
      </c>
      <c r="U3" s="32">
        <v>0</v>
      </c>
      <c r="V3" s="32">
        <v>0</v>
      </c>
      <c r="W3" s="32">
        <v>0</v>
      </c>
      <c r="X3" s="32">
        <v>1.5640962898234609E-3</v>
      </c>
      <c r="Y3" s="32">
        <v>3.9102407245586522E-4</v>
      </c>
      <c r="Z3" s="32">
        <v>1.5640962898234609E-3</v>
      </c>
      <c r="AA3" s="32">
        <v>3.9102407245586522E-4</v>
      </c>
      <c r="AB3" s="32">
        <v>0</v>
      </c>
      <c r="AC3" s="32">
        <v>0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1501" r:id="rId3" name="ScaleDefault">
          <controlPr defaultSize="0" print="0" autoLine="0" r:id="rId4">
            <anchor moveWithCells="1">
              <from>
                <xdr:col>14</xdr:col>
                <xdr:colOff>457200</xdr:colOff>
                <xdr:row>18</xdr:row>
                <xdr:rowOff>123825</xdr:rowOff>
              </from>
              <to>
                <xdr:col>15</xdr:col>
                <xdr:colOff>276225</xdr:colOff>
                <xdr:row>20</xdr:row>
                <xdr:rowOff>19050</xdr:rowOff>
              </to>
            </anchor>
          </controlPr>
        </control>
      </mc:Choice>
      <mc:Fallback>
        <control shapeId="191501" r:id="rId3" name="ScaleDefault"/>
      </mc:Fallback>
    </mc:AlternateContent>
    <mc:AlternateContent xmlns:mc="http://schemas.openxmlformats.org/markup-compatibility/2006">
      <mc:Choice Requires="x14">
        <control shapeId="191500" r:id="rId5" name="ScaleYes">
          <controlPr defaultSize="0" print="0" autoLine="0" r:id="rId6">
            <anchor moveWithCells="1">
              <from>
                <xdr:col>13</xdr:col>
                <xdr:colOff>552450</xdr:colOff>
                <xdr:row>18</xdr:row>
                <xdr:rowOff>123825</xdr:rowOff>
              </from>
              <to>
                <xdr:col>14</xdr:col>
                <xdr:colOff>381000</xdr:colOff>
                <xdr:row>20</xdr:row>
                <xdr:rowOff>19050</xdr:rowOff>
              </to>
            </anchor>
          </controlPr>
        </control>
      </mc:Choice>
      <mc:Fallback>
        <control shapeId="191500" r:id="rId5" name="ScaleYes"/>
      </mc:Fallback>
    </mc:AlternateContent>
    <mc:AlternateContent xmlns:mc="http://schemas.openxmlformats.org/markup-compatibility/2006">
      <mc:Choice Requires="x14">
        <control shapeId="191499" r:id="rId7" name="YScaleMax">
          <controlPr defaultSize="0" print="0" autoLine="0" r:id="rId8">
            <anchor moveWithCells="1">
              <from>
                <xdr:col>14</xdr:col>
                <xdr:colOff>247650</xdr:colOff>
                <xdr:row>17</xdr:row>
                <xdr:rowOff>9525</xdr:rowOff>
              </from>
              <to>
                <xdr:col>15</xdr:col>
                <xdr:colOff>276225</xdr:colOff>
                <xdr:row>18</xdr:row>
                <xdr:rowOff>47625</xdr:rowOff>
              </to>
            </anchor>
          </controlPr>
        </control>
      </mc:Choice>
      <mc:Fallback>
        <control shapeId="191499" r:id="rId7" name="YScaleMax"/>
      </mc:Fallback>
    </mc:AlternateContent>
    <mc:AlternateContent xmlns:mc="http://schemas.openxmlformats.org/markup-compatibility/2006">
      <mc:Choice Requires="x14">
        <control shapeId="191498" r:id="rId9" name="YScaleMin">
          <controlPr defaultSize="0" print="0" autoLine="0" r:id="rId10">
            <anchor moveWithCells="1">
              <from>
                <xdr:col>12</xdr:col>
                <xdr:colOff>533400</xdr:colOff>
                <xdr:row>17</xdr:row>
                <xdr:rowOff>9525</xdr:rowOff>
              </from>
              <to>
                <xdr:col>13</xdr:col>
                <xdr:colOff>552450</xdr:colOff>
                <xdr:row>18</xdr:row>
                <xdr:rowOff>47625</xdr:rowOff>
              </to>
            </anchor>
          </controlPr>
        </control>
      </mc:Choice>
      <mc:Fallback>
        <control shapeId="191498" r:id="rId9" name="YScaleMin"/>
      </mc:Fallback>
    </mc:AlternateContent>
    <mc:AlternateContent xmlns:mc="http://schemas.openxmlformats.org/markup-compatibility/2006">
      <mc:Choice Requires="x14">
        <control shapeId="191497" r:id="rId11" name="Label4">
          <controlPr defaultSize="0" print="0" autoLine="0" r:id="rId12">
            <anchor moveWithCells="1">
              <from>
                <xdr:col>13</xdr:col>
                <xdr:colOff>571500</xdr:colOff>
                <xdr:row>17</xdr:row>
                <xdr:rowOff>38100</xdr:rowOff>
              </from>
              <to>
                <xdr:col>14</xdr:col>
                <xdr:colOff>238125</xdr:colOff>
                <xdr:row>18</xdr:row>
                <xdr:rowOff>76200</xdr:rowOff>
              </to>
            </anchor>
          </controlPr>
        </control>
      </mc:Choice>
      <mc:Fallback>
        <control shapeId="191497" r:id="rId11" name="Label4"/>
      </mc:Fallback>
    </mc:AlternateContent>
    <mc:AlternateContent xmlns:mc="http://schemas.openxmlformats.org/markup-compatibility/2006">
      <mc:Choice Requires="x14">
        <control shapeId="191496" r:id="rId13" name="YScaleLogarithmic">
          <controlPr defaultSize="0" print="0" autoLine="0" r:id="rId14">
            <anchor moveWithCells="1">
              <from>
                <xdr:col>14</xdr:col>
                <xdr:colOff>161925</xdr:colOff>
                <xdr:row>15</xdr:row>
                <xdr:rowOff>161925</xdr:rowOff>
              </from>
              <to>
                <xdr:col>15</xdr:col>
                <xdr:colOff>342900</xdr:colOff>
                <xdr:row>17</xdr:row>
                <xdr:rowOff>9525</xdr:rowOff>
              </to>
            </anchor>
          </controlPr>
        </control>
      </mc:Choice>
      <mc:Fallback>
        <control shapeId="191496" r:id="rId13" name="YScaleLogarithmic"/>
      </mc:Fallback>
    </mc:AlternateContent>
    <mc:AlternateContent xmlns:mc="http://schemas.openxmlformats.org/markup-compatibility/2006">
      <mc:Choice Requires="x14">
        <control shapeId="191495" r:id="rId15" name="Label3">
          <controlPr defaultSize="0" print="0" autoLine="0" r:id="rId16">
            <anchor moveWithCells="1">
              <from>
                <xdr:col>13</xdr:col>
                <xdr:colOff>47625</xdr:colOff>
                <xdr:row>16</xdr:row>
                <xdr:rowOff>0</xdr:rowOff>
              </from>
              <to>
                <xdr:col>14</xdr:col>
                <xdr:colOff>76200</xdr:colOff>
                <xdr:row>17</xdr:row>
                <xdr:rowOff>38100</xdr:rowOff>
              </to>
            </anchor>
          </controlPr>
        </control>
      </mc:Choice>
      <mc:Fallback>
        <control shapeId="191495" r:id="rId15" name="Label3"/>
      </mc:Fallback>
    </mc:AlternateContent>
    <mc:AlternateContent xmlns:mc="http://schemas.openxmlformats.org/markup-compatibility/2006">
      <mc:Choice Requires="x14">
        <control shapeId="191494" r:id="rId17" name="XScaleMax">
          <controlPr defaultSize="0" print="0" autoLine="0" r:id="rId18">
            <anchor moveWithCells="1">
              <from>
                <xdr:col>14</xdr:col>
                <xdr:colOff>247650</xdr:colOff>
                <xdr:row>14</xdr:row>
                <xdr:rowOff>76200</xdr:rowOff>
              </from>
              <to>
                <xdr:col>15</xdr:col>
                <xdr:colOff>276225</xdr:colOff>
                <xdr:row>15</xdr:row>
                <xdr:rowOff>114300</xdr:rowOff>
              </to>
            </anchor>
          </controlPr>
        </control>
      </mc:Choice>
      <mc:Fallback>
        <control shapeId="191494" r:id="rId17" name="XScaleMax"/>
      </mc:Fallback>
    </mc:AlternateContent>
    <mc:AlternateContent xmlns:mc="http://schemas.openxmlformats.org/markup-compatibility/2006">
      <mc:Choice Requires="x14">
        <control shapeId="191493" r:id="rId19" name="XScaleMin">
          <controlPr defaultSize="0" print="0" autoLine="0" r:id="rId20">
            <anchor moveWithCells="1">
              <from>
                <xdr:col>12</xdr:col>
                <xdr:colOff>533400</xdr:colOff>
                <xdr:row>14</xdr:row>
                <xdr:rowOff>76200</xdr:rowOff>
              </from>
              <to>
                <xdr:col>13</xdr:col>
                <xdr:colOff>552450</xdr:colOff>
                <xdr:row>15</xdr:row>
                <xdr:rowOff>114300</xdr:rowOff>
              </to>
            </anchor>
          </controlPr>
        </control>
      </mc:Choice>
      <mc:Fallback>
        <control shapeId="191493" r:id="rId19" name="XScaleMin"/>
      </mc:Fallback>
    </mc:AlternateContent>
    <mc:AlternateContent xmlns:mc="http://schemas.openxmlformats.org/markup-compatibility/2006">
      <mc:Choice Requires="x14">
        <control shapeId="191492" r:id="rId21" name="Label2">
          <controlPr defaultSize="0" print="0" autoLine="0" r:id="rId22">
            <anchor moveWithCells="1">
              <from>
                <xdr:col>13</xdr:col>
                <xdr:colOff>571500</xdr:colOff>
                <xdr:row>14</xdr:row>
                <xdr:rowOff>95250</xdr:rowOff>
              </from>
              <to>
                <xdr:col>14</xdr:col>
                <xdr:colOff>238125</xdr:colOff>
                <xdr:row>15</xdr:row>
                <xdr:rowOff>133350</xdr:rowOff>
              </to>
            </anchor>
          </controlPr>
        </control>
      </mc:Choice>
      <mc:Fallback>
        <control shapeId="191492" r:id="rId21" name="Label2"/>
      </mc:Fallback>
    </mc:AlternateContent>
    <mc:AlternateContent xmlns:mc="http://schemas.openxmlformats.org/markup-compatibility/2006">
      <mc:Choice Requires="x14">
        <control shapeId="191491" r:id="rId23" name="Label1">
          <controlPr defaultSize="0" print="0" autoLine="0" r:id="rId24">
            <anchor moveWithCells="1">
              <from>
                <xdr:col>13</xdr:col>
                <xdr:colOff>390525</xdr:colOff>
                <xdr:row>13</xdr:row>
                <xdr:rowOff>57150</xdr:rowOff>
              </from>
              <to>
                <xdr:col>14</xdr:col>
                <xdr:colOff>419100</xdr:colOff>
                <xdr:row>14</xdr:row>
                <xdr:rowOff>95250</xdr:rowOff>
              </to>
            </anchor>
          </controlPr>
        </control>
      </mc:Choice>
      <mc:Fallback>
        <control shapeId="191491" r:id="rId23" name="Label1"/>
      </mc:Fallback>
    </mc:AlternateContent>
    <mc:AlternateContent xmlns:mc="http://schemas.openxmlformats.org/markup-compatibility/2006">
      <mc:Choice Requires="x14">
        <control shapeId="191490" r:id="rId25" name="FmlListBox">
          <controlPr defaultSize="0" print="0" autoLine="0" r:id="rId26">
            <anchor moveWithCells="1">
              <from>
                <xdr:col>12</xdr:col>
                <xdr:colOff>428625</xdr:colOff>
                <xdr:row>4</xdr:row>
                <xdr:rowOff>76200</xdr:rowOff>
              </from>
              <to>
                <xdr:col>15</xdr:col>
                <xdr:colOff>381000</xdr:colOff>
                <xdr:row>13</xdr:row>
                <xdr:rowOff>19050</xdr:rowOff>
              </to>
            </anchor>
          </controlPr>
        </control>
      </mc:Choice>
      <mc:Fallback>
        <control shapeId="191490" r:id="rId25" name="FmlListBox"/>
      </mc:Fallback>
    </mc:AlternateContent>
    <mc:AlternateContent xmlns:mc="http://schemas.openxmlformats.org/markup-compatibility/2006">
      <mc:Choice Requires="x14">
        <control shapeId="191489" r:id="rId27" name="RngCopy">
          <controlPr defaultSize="0" print="0" autoLine="0" r:id="rId28">
            <anchor moveWithCells="1">
              <from>
                <xdr:col>0</xdr:col>
                <xdr:colOff>581025</xdr:colOff>
                <xdr:row>2</xdr:row>
                <xdr:rowOff>152400</xdr:rowOff>
              </from>
              <to>
                <xdr:col>3</xdr:col>
                <xdr:colOff>19050</xdr:colOff>
                <xdr:row>4</xdr:row>
                <xdr:rowOff>47625</xdr:rowOff>
              </to>
            </anchor>
          </controlPr>
        </control>
      </mc:Choice>
      <mc:Fallback>
        <control shapeId="191489" r:id="rId27" name="RngCop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AC3"/>
  <sheetViews>
    <sheetView workbookViewId="0"/>
  </sheetViews>
  <sheetFormatPr defaultRowHeight="15" x14ac:dyDescent="0.25"/>
  <cols>
    <col min="1" max="16384" width="9.140625" style="32"/>
  </cols>
  <sheetData>
    <row r="1" spans="1:29" x14ac:dyDescent="0.25">
      <c r="A1" s="32" t="s">
        <v>66</v>
      </c>
      <c r="B1" s="32" t="s">
        <v>29</v>
      </c>
      <c r="M1" s="32" t="s">
        <v>30</v>
      </c>
      <c r="N1" s="32" t="s">
        <v>42</v>
      </c>
      <c r="O1" s="32" t="s">
        <v>45</v>
      </c>
      <c r="P1" s="32" t="s">
        <v>27</v>
      </c>
      <c r="Q1" s="32" t="s">
        <v>44</v>
      </c>
      <c r="V1" s="32" t="s">
        <v>28</v>
      </c>
    </row>
    <row r="2" spans="1:29" x14ac:dyDescent="0.25">
      <c r="A2" s="32" t="s">
        <v>31</v>
      </c>
      <c r="B2" s="32" t="s">
        <v>32</v>
      </c>
      <c r="C2" s="32" t="s">
        <v>33</v>
      </c>
      <c r="D2" s="32" t="s">
        <v>34</v>
      </c>
      <c r="E2" s="32" t="s">
        <v>35</v>
      </c>
      <c r="F2" s="32" t="s">
        <v>36</v>
      </c>
      <c r="G2" s="32" t="s">
        <v>37</v>
      </c>
      <c r="H2" s="32" t="s">
        <v>22</v>
      </c>
      <c r="I2" s="32" t="s">
        <v>38</v>
      </c>
      <c r="J2" s="32" t="s">
        <v>39</v>
      </c>
      <c r="K2" s="32" t="s">
        <v>40</v>
      </c>
      <c r="L2" s="32" t="s">
        <v>41</v>
      </c>
      <c r="M2" s="32" t="s">
        <v>32</v>
      </c>
      <c r="N2" s="32">
        <v>18.001999999999999</v>
      </c>
      <c r="O2" s="32">
        <v>27.988</v>
      </c>
      <c r="P2" s="32">
        <v>31.98</v>
      </c>
      <c r="Q2" s="32">
        <v>43.985999999999997</v>
      </c>
      <c r="R2" s="32">
        <v>44.98</v>
      </c>
      <c r="S2" s="32">
        <v>49.987000000000002</v>
      </c>
      <c r="T2" s="32">
        <v>69.076999999999998</v>
      </c>
      <c r="U2" s="32">
        <v>77.986000000000004</v>
      </c>
      <c r="V2" s="32">
        <v>83.88</v>
      </c>
      <c r="W2" s="32">
        <v>99.974000000000004</v>
      </c>
      <c r="X2" s="32">
        <v>112.093</v>
      </c>
      <c r="Y2" s="32">
        <v>118.967</v>
      </c>
      <c r="Z2" s="32">
        <v>130.96100000000001</v>
      </c>
      <c r="AA2" s="32">
        <v>148.97999999999999</v>
      </c>
      <c r="AB2" s="32">
        <v>167.01599999999999</v>
      </c>
      <c r="AC2" s="32">
        <v>249.917</v>
      </c>
    </row>
    <row r="3" spans="1:29" x14ac:dyDescent="0.25">
      <c r="A3" s="32">
        <v>1</v>
      </c>
      <c r="B3" s="32">
        <v>9.4998760035550003</v>
      </c>
      <c r="C3" s="32">
        <v>18.415596000000001</v>
      </c>
      <c r="D3" s="32">
        <v>397.803</v>
      </c>
      <c r="E3" s="32">
        <v>43.164999999999999</v>
      </c>
      <c r="F3" s="32">
        <v>300</v>
      </c>
      <c r="G3" s="32">
        <v>0</v>
      </c>
      <c r="H3" s="32">
        <v>200</v>
      </c>
      <c r="I3" s="34">
        <v>1.7500000000000002E-2</v>
      </c>
      <c r="J3" s="34">
        <v>1.7000000000000001E-4</v>
      </c>
      <c r="K3" s="34">
        <v>1.434E-5</v>
      </c>
      <c r="L3" s="32">
        <v>2557.3873079460336</v>
      </c>
      <c r="M3" s="32">
        <v>9.4998760035550003</v>
      </c>
      <c r="N3" s="32">
        <v>0</v>
      </c>
      <c r="O3" s="32">
        <v>0</v>
      </c>
      <c r="P3" s="32">
        <v>0</v>
      </c>
      <c r="Q3" s="32">
        <v>0</v>
      </c>
      <c r="R3" s="32">
        <v>3.9102407245586522E-4</v>
      </c>
      <c r="S3" s="32">
        <v>0</v>
      </c>
      <c r="T3" s="32">
        <v>0</v>
      </c>
      <c r="U3" s="32">
        <v>0</v>
      </c>
      <c r="V3" s="32">
        <v>0</v>
      </c>
      <c r="W3" s="32">
        <v>0</v>
      </c>
      <c r="X3" s="32">
        <v>1.5640962898234609E-3</v>
      </c>
      <c r="Y3" s="32">
        <v>3.9102407245586522E-4</v>
      </c>
      <c r="Z3" s="32">
        <v>1.5640962898234609E-3</v>
      </c>
      <c r="AA3" s="32">
        <v>3.9102407245586522E-4</v>
      </c>
      <c r="AB3" s="32">
        <v>0</v>
      </c>
      <c r="AC3" s="32">
        <v>0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2525" r:id="rId3" name="ScaleDefault">
          <controlPr defaultSize="0" print="0" autoLine="0" r:id="rId4">
            <anchor moveWithCells="1">
              <from>
                <xdr:col>14</xdr:col>
                <xdr:colOff>457200</xdr:colOff>
                <xdr:row>18</xdr:row>
                <xdr:rowOff>123825</xdr:rowOff>
              </from>
              <to>
                <xdr:col>15</xdr:col>
                <xdr:colOff>276225</xdr:colOff>
                <xdr:row>20</xdr:row>
                <xdr:rowOff>19050</xdr:rowOff>
              </to>
            </anchor>
          </controlPr>
        </control>
      </mc:Choice>
      <mc:Fallback>
        <control shapeId="192525" r:id="rId3" name="ScaleDefault"/>
      </mc:Fallback>
    </mc:AlternateContent>
    <mc:AlternateContent xmlns:mc="http://schemas.openxmlformats.org/markup-compatibility/2006">
      <mc:Choice Requires="x14">
        <control shapeId="192524" r:id="rId5" name="ScaleYes">
          <controlPr defaultSize="0" print="0" autoLine="0" r:id="rId6">
            <anchor moveWithCells="1">
              <from>
                <xdr:col>13</xdr:col>
                <xdr:colOff>552450</xdr:colOff>
                <xdr:row>18</xdr:row>
                <xdr:rowOff>123825</xdr:rowOff>
              </from>
              <to>
                <xdr:col>14</xdr:col>
                <xdr:colOff>381000</xdr:colOff>
                <xdr:row>20</xdr:row>
                <xdr:rowOff>19050</xdr:rowOff>
              </to>
            </anchor>
          </controlPr>
        </control>
      </mc:Choice>
      <mc:Fallback>
        <control shapeId="192524" r:id="rId5" name="ScaleYes"/>
      </mc:Fallback>
    </mc:AlternateContent>
    <mc:AlternateContent xmlns:mc="http://schemas.openxmlformats.org/markup-compatibility/2006">
      <mc:Choice Requires="x14">
        <control shapeId="192523" r:id="rId7" name="YScaleMax">
          <controlPr defaultSize="0" print="0" autoLine="0" r:id="rId8">
            <anchor moveWithCells="1">
              <from>
                <xdr:col>14</xdr:col>
                <xdr:colOff>247650</xdr:colOff>
                <xdr:row>17</xdr:row>
                <xdr:rowOff>9525</xdr:rowOff>
              </from>
              <to>
                <xdr:col>15</xdr:col>
                <xdr:colOff>276225</xdr:colOff>
                <xdr:row>18</xdr:row>
                <xdr:rowOff>47625</xdr:rowOff>
              </to>
            </anchor>
          </controlPr>
        </control>
      </mc:Choice>
      <mc:Fallback>
        <control shapeId="192523" r:id="rId7" name="YScaleMax"/>
      </mc:Fallback>
    </mc:AlternateContent>
    <mc:AlternateContent xmlns:mc="http://schemas.openxmlformats.org/markup-compatibility/2006">
      <mc:Choice Requires="x14">
        <control shapeId="192522" r:id="rId9" name="YScaleMin">
          <controlPr defaultSize="0" print="0" autoLine="0" r:id="rId10">
            <anchor moveWithCells="1">
              <from>
                <xdr:col>12</xdr:col>
                <xdr:colOff>533400</xdr:colOff>
                <xdr:row>17</xdr:row>
                <xdr:rowOff>9525</xdr:rowOff>
              </from>
              <to>
                <xdr:col>13</xdr:col>
                <xdr:colOff>552450</xdr:colOff>
                <xdr:row>18</xdr:row>
                <xdr:rowOff>47625</xdr:rowOff>
              </to>
            </anchor>
          </controlPr>
        </control>
      </mc:Choice>
      <mc:Fallback>
        <control shapeId="192522" r:id="rId9" name="YScaleMin"/>
      </mc:Fallback>
    </mc:AlternateContent>
    <mc:AlternateContent xmlns:mc="http://schemas.openxmlformats.org/markup-compatibility/2006">
      <mc:Choice Requires="x14">
        <control shapeId="192521" r:id="rId11" name="Label4">
          <controlPr defaultSize="0" print="0" autoLine="0" r:id="rId12">
            <anchor moveWithCells="1">
              <from>
                <xdr:col>13</xdr:col>
                <xdr:colOff>571500</xdr:colOff>
                <xdr:row>17</xdr:row>
                <xdr:rowOff>38100</xdr:rowOff>
              </from>
              <to>
                <xdr:col>14</xdr:col>
                <xdr:colOff>238125</xdr:colOff>
                <xdr:row>18</xdr:row>
                <xdr:rowOff>76200</xdr:rowOff>
              </to>
            </anchor>
          </controlPr>
        </control>
      </mc:Choice>
      <mc:Fallback>
        <control shapeId="192521" r:id="rId11" name="Label4"/>
      </mc:Fallback>
    </mc:AlternateContent>
    <mc:AlternateContent xmlns:mc="http://schemas.openxmlformats.org/markup-compatibility/2006">
      <mc:Choice Requires="x14">
        <control shapeId="192520" r:id="rId13" name="YScaleLogarithmic">
          <controlPr defaultSize="0" print="0" autoLine="0" r:id="rId14">
            <anchor moveWithCells="1">
              <from>
                <xdr:col>14</xdr:col>
                <xdr:colOff>161925</xdr:colOff>
                <xdr:row>15</xdr:row>
                <xdr:rowOff>161925</xdr:rowOff>
              </from>
              <to>
                <xdr:col>15</xdr:col>
                <xdr:colOff>342900</xdr:colOff>
                <xdr:row>17</xdr:row>
                <xdr:rowOff>9525</xdr:rowOff>
              </to>
            </anchor>
          </controlPr>
        </control>
      </mc:Choice>
      <mc:Fallback>
        <control shapeId="192520" r:id="rId13" name="YScaleLogarithmic"/>
      </mc:Fallback>
    </mc:AlternateContent>
    <mc:AlternateContent xmlns:mc="http://schemas.openxmlformats.org/markup-compatibility/2006">
      <mc:Choice Requires="x14">
        <control shapeId="192519" r:id="rId15" name="Label3">
          <controlPr defaultSize="0" print="0" autoLine="0" r:id="rId16">
            <anchor moveWithCells="1">
              <from>
                <xdr:col>13</xdr:col>
                <xdr:colOff>47625</xdr:colOff>
                <xdr:row>16</xdr:row>
                <xdr:rowOff>0</xdr:rowOff>
              </from>
              <to>
                <xdr:col>14</xdr:col>
                <xdr:colOff>76200</xdr:colOff>
                <xdr:row>17</xdr:row>
                <xdr:rowOff>38100</xdr:rowOff>
              </to>
            </anchor>
          </controlPr>
        </control>
      </mc:Choice>
      <mc:Fallback>
        <control shapeId="192519" r:id="rId15" name="Label3"/>
      </mc:Fallback>
    </mc:AlternateContent>
    <mc:AlternateContent xmlns:mc="http://schemas.openxmlformats.org/markup-compatibility/2006">
      <mc:Choice Requires="x14">
        <control shapeId="192518" r:id="rId17" name="XScaleMax">
          <controlPr defaultSize="0" print="0" autoLine="0" r:id="rId18">
            <anchor moveWithCells="1">
              <from>
                <xdr:col>14</xdr:col>
                <xdr:colOff>247650</xdr:colOff>
                <xdr:row>14</xdr:row>
                <xdr:rowOff>76200</xdr:rowOff>
              </from>
              <to>
                <xdr:col>15</xdr:col>
                <xdr:colOff>276225</xdr:colOff>
                <xdr:row>15</xdr:row>
                <xdr:rowOff>114300</xdr:rowOff>
              </to>
            </anchor>
          </controlPr>
        </control>
      </mc:Choice>
      <mc:Fallback>
        <control shapeId="192518" r:id="rId17" name="XScaleMax"/>
      </mc:Fallback>
    </mc:AlternateContent>
    <mc:AlternateContent xmlns:mc="http://schemas.openxmlformats.org/markup-compatibility/2006">
      <mc:Choice Requires="x14">
        <control shapeId="192517" r:id="rId19" name="XScaleMin">
          <controlPr defaultSize="0" print="0" autoLine="0" r:id="rId20">
            <anchor moveWithCells="1">
              <from>
                <xdr:col>12</xdr:col>
                <xdr:colOff>533400</xdr:colOff>
                <xdr:row>14</xdr:row>
                <xdr:rowOff>76200</xdr:rowOff>
              </from>
              <to>
                <xdr:col>13</xdr:col>
                <xdr:colOff>552450</xdr:colOff>
                <xdr:row>15</xdr:row>
                <xdr:rowOff>114300</xdr:rowOff>
              </to>
            </anchor>
          </controlPr>
        </control>
      </mc:Choice>
      <mc:Fallback>
        <control shapeId="192517" r:id="rId19" name="XScaleMin"/>
      </mc:Fallback>
    </mc:AlternateContent>
    <mc:AlternateContent xmlns:mc="http://schemas.openxmlformats.org/markup-compatibility/2006">
      <mc:Choice Requires="x14">
        <control shapeId="192516" r:id="rId21" name="Label2">
          <controlPr defaultSize="0" print="0" autoLine="0" r:id="rId22">
            <anchor moveWithCells="1">
              <from>
                <xdr:col>13</xdr:col>
                <xdr:colOff>571500</xdr:colOff>
                <xdr:row>14</xdr:row>
                <xdr:rowOff>95250</xdr:rowOff>
              </from>
              <to>
                <xdr:col>14</xdr:col>
                <xdr:colOff>238125</xdr:colOff>
                <xdr:row>15</xdr:row>
                <xdr:rowOff>133350</xdr:rowOff>
              </to>
            </anchor>
          </controlPr>
        </control>
      </mc:Choice>
      <mc:Fallback>
        <control shapeId="192516" r:id="rId21" name="Label2"/>
      </mc:Fallback>
    </mc:AlternateContent>
    <mc:AlternateContent xmlns:mc="http://schemas.openxmlformats.org/markup-compatibility/2006">
      <mc:Choice Requires="x14">
        <control shapeId="192515" r:id="rId23" name="Label1">
          <controlPr defaultSize="0" print="0" autoLine="0" r:id="rId24">
            <anchor moveWithCells="1">
              <from>
                <xdr:col>13</xdr:col>
                <xdr:colOff>390525</xdr:colOff>
                <xdr:row>13</xdr:row>
                <xdr:rowOff>57150</xdr:rowOff>
              </from>
              <to>
                <xdr:col>14</xdr:col>
                <xdr:colOff>419100</xdr:colOff>
                <xdr:row>14</xdr:row>
                <xdr:rowOff>95250</xdr:rowOff>
              </to>
            </anchor>
          </controlPr>
        </control>
      </mc:Choice>
      <mc:Fallback>
        <control shapeId="192515" r:id="rId23" name="Label1"/>
      </mc:Fallback>
    </mc:AlternateContent>
    <mc:AlternateContent xmlns:mc="http://schemas.openxmlformats.org/markup-compatibility/2006">
      <mc:Choice Requires="x14">
        <control shapeId="192514" r:id="rId25" name="FmlListBox">
          <controlPr defaultSize="0" print="0" autoLine="0" r:id="rId26">
            <anchor moveWithCells="1">
              <from>
                <xdr:col>12</xdr:col>
                <xdr:colOff>428625</xdr:colOff>
                <xdr:row>4</xdr:row>
                <xdr:rowOff>76200</xdr:rowOff>
              </from>
              <to>
                <xdr:col>15</xdr:col>
                <xdr:colOff>381000</xdr:colOff>
                <xdr:row>13</xdr:row>
                <xdr:rowOff>19050</xdr:rowOff>
              </to>
            </anchor>
          </controlPr>
        </control>
      </mc:Choice>
      <mc:Fallback>
        <control shapeId="192514" r:id="rId25" name="FmlListBox"/>
      </mc:Fallback>
    </mc:AlternateContent>
    <mc:AlternateContent xmlns:mc="http://schemas.openxmlformats.org/markup-compatibility/2006">
      <mc:Choice Requires="x14">
        <control shapeId="192513" r:id="rId27" name="RngCopy">
          <controlPr defaultSize="0" print="0" autoLine="0" r:id="rId28">
            <anchor moveWithCells="1">
              <from>
                <xdr:col>0</xdr:col>
                <xdr:colOff>581025</xdr:colOff>
                <xdr:row>2</xdr:row>
                <xdr:rowOff>152400</xdr:rowOff>
              </from>
              <to>
                <xdr:col>3</xdr:col>
                <xdr:colOff>19050</xdr:colOff>
                <xdr:row>4</xdr:row>
                <xdr:rowOff>47625</xdr:rowOff>
              </to>
            </anchor>
          </controlPr>
        </control>
      </mc:Choice>
      <mc:Fallback>
        <control shapeId="192513" r:id="rId27" name="RngCop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C25"/>
  <sheetViews>
    <sheetView tabSelected="1" workbookViewId="0">
      <selection activeCell="D2" sqref="D2"/>
    </sheetView>
  </sheetViews>
  <sheetFormatPr defaultRowHeight="15" x14ac:dyDescent="0.25"/>
  <cols>
    <col min="1" max="16384" width="9.140625" style="32"/>
  </cols>
  <sheetData>
    <row r="1" spans="1:29" x14ac:dyDescent="0.25">
      <c r="A1" s="32" t="s">
        <v>65</v>
      </c>
      <c r="B1" s="32" t="s">
        <v>29</v>
      </c>
      <c r="M1" s="32" t="s">
        <v>30</v>
      </c>
      <c r="N1" s="32" t="s">
        <v>42</v>
      </c>
      <c r="O1" s="32" t="s">
        <v>45</v>
      </c>
      <c r="P1" s="32" t="s">
        <v>27</v>
      </c>
      <c r="Q1" s="32" t="s">
        <v>44</v>
      </c>
      <c r="V1" s="32" t="s">
        <v>28</v>
      </c>
    </row>
    <row r="2" spans="1:29" x14ac:dyDescent="0.25">
      <c r="A2" s="32">
        <v>9526</v>
      </c>
      <c r="B2" s="32" t="s">
        <v>32</v>
      </c>
      <c r="C2" s="32" t="s">
        <v>33</v>
      </c>
      <c r="D2" s="32" t="s">
        <v>34</v>
      </c>
      <c r="E2" s="32" t="s">
        <v>35</v>
      </c>
      <c r="F2" s="32" t="s">
        <v>36</v>
      </c>
      <c r="G2" s="32" t="s">
        <v>37</v>
      </c>
      <c r="H2" s="32" t="s">
        <v>22</v>
      </c>
      <c r="I2" s="32" t="s">
        <v>38</v>
      </c>
      <c r="J2" s="32" t="s">
        <v>39</v>
      </c>
      <c r="K2" s="32" t="s">
        <v>40</v>
      </c>
      <c r="L2" s="32" t="s">
        <v>41</v>
      </c>
      <c r="M2" s="32" t="s">
        <v>32</v>
      </c>
      <c r="N2" s="32">
        <v>18.001999999999999</v>
      </c>
      <c r="O2" s="32">
        <v>27.988</v>
      </c>
      <c r="P2" s="32">
        <v>31.98</v>
      </c>
      <c r="Q2" s="32">
        <v>43.985999999999997</v>
      </c>
      <c r="R2" s="32">
        <v>44.98</v>
      </c>
      <c r="S2" s="32">
        <v>49.987000000000002</v>
      </c>
      <c r="T2" s="32">
        <v>69.076999999999998</v>
      </c>
      <c r="U2" s="32">
        <v>77.986000000000004</v>
      </c>
      <c r="V2" s="32">
        <v>83.88</v>
      </c>
      <c r="W2" s="32">
        <v>99.974000000000004</v>
      </c>
      <c r="X2" s="32">
        <v>112.093</v>
      </c>
      <c r="Y2" s="32">
        <v>118.967</v>
      </c>
      <c r="Z2" s="32">
        <v>130.96100000000001</v>
      </c>
      <c r="AA2" s="32">
        <v>148.97999999999999</v>
      </c>
      <c r="AB2" s="32">
        <v>167.01599999999999</v>
      </c>
      <c r="AC2" s="32">
        <v>249.917</v>
      </c>
    </row>
    <row r="3" spans="1:29" x14ac:dyDescent="0.25">
      <c r="A3" s="32">
        <v>1</v>
      </c>
      <c r="B3" s="32">
        <v>8.9999897437360001</v>
      </c>
      <c r="C3" s="32">
        <v>44.536718</v>
      </c>
      <c r="D3" s="32">
        <v>396.70299999999997</v>
      </c>
      <c r="E3" s="32">
        <v>42.284999999999997</v>
      </c>
      <c r="F3" s="32">
        <v>270</v>
      </c>
      <c r="G3" s="32">
        <v>0</v>
      </c>
      <c r="H3" s="32">
        <v>200</v>
      </c>
      <c r="I3" s="34">
        <v>1.7409999999999998E-2</v>
      </c>
      <c r="J3" s="34">
        <v>1.7100000000000001E-4</v>
      </c>
      <c r="K3" s="34">
        <v>1.446E-5</v>
      </c>
      <c r="L3" s="32">
        <v>2748.8901124509639</v>
      </c>
      <c r="M3" s="32">
        <v>8.9999897437360001</v>
      </c>
      <c r="N3" s="32">
        <v>0</v>
      </c>
      <c r="O3" s="32">
        <v>0</v>
      </c>
      <c r="P3" s="32">
        <v>0</v>
      </c>
      <c r="Q3" s="32">
        <v>0</v>
      </c>
      <c r="R3" s="32">
        <v>0</v>
      </c>
      <c r="S3" s="32">
        <v>0</v>
      </c>
      <c r="T3" s="32">
        <v>0</v>
      </c>
      <c r="U3" s="32">
        <v>0</v>
      </c>
      <c r="V3" s="32">
        <v>3.6378318488270909E-4</v>
      </c>
      <c r="W3" s="32">
        <v>0</v>
      </c>
      <c r="X3" s="32">
        <v>0</v>
      </c>
      <c r="Y3" s="32">
        <v>0</v>
      </c>
      <c r="Z3" s="32">
        <v>1.0913495546481273E-3</v>
      </c>
      <c r="AA3" s="32">
        <v>0</v>
      </c>
      <c r="AB3" s="32">
        <v>0</v>
      </c>
      <c r="AC3" s="32">
        <v>0</v>
      </c>
    </row>
    <row r="4" spans="1:29" x14ac:dyDescent="0.25">
      <c r="A4" s="32">
        <v>2</v>
      </c>
      <c r="B4" s="32">
        <v>9.0498997713300007</v>
      </c>
      <c r="C4" s="32">
        <v>40.742685000000002</v>
      </c>
      <c r="D4" s="32">
        <v>401.00299999999999</v>
      </c>
      <c r="E4" s="32">
        <v>42.374000000000002</v>
      </c>
      <c r="F4" s="32">
        <v>270</v>
      </c>
      <c r="G4" s="32">
        <v>0</v>
      </c>
      <c r="H4" s="32">
        <v>200</v>
      </c>
      <c r="I4" s="34">
        <v>1.754E-2</v>
      </c>
      <c r="J4" s="34">
        <v>1.716E-4</v>
      </c>
      <c r="K4" s="34">
        <v>1.451E-5</v>
      </c>
      <c r="L4" s="32">
        <v>2767.9103212435462</v>
      </c>
      <c r="M4" s="32">
        <v>9.0498997713300007</v>
      </c>
      <c r="N4" s="32">
        <v>0</v>
      </c>
      <c r="O4" s="32">
        <v>0</v>
      </c>
      <c r="P4" s="32">
        <v>0</v>
      </c>
      <c r="Q4" s="32">
        <v>0</v>
      </c>
      <c r="R4" s="32">
        <v>3.6128338130215413E-4</v>
      </c>
      <c r="S4" s="32">
        <v>0</v>
      </c>
      <c r="T4" s="32">
        <v>0</v>
      </c>
      <c r="U4" s="32">
        <v>0</v>
      </c>
      <c r="V4" s="32">
        <v>0</v>
      </c>
      <c r="W4" s="32">
        <v>0</v>
      </c>
      <c r="X4" s="32">
        <v>1.5354543705341551E-4</v>
      </c>
      <c r="Y4" s="32">
        <v>0</v>
      </c>
      <c r="Z4" s="32">
        <v>2.1677002878129248E-3</v>
      </c>
      <c r="AA4" s="32">
        <v>0</v>
      </c>
      <c r="AB4" s="32">
        <v>0</v>
      </c>
      <c r="AC4" s="32">
        <v>0</v>
      </c>
    </row>
    <row r="5" spans="1:29" x14ac:dyDescent="0.25">
      <c r="A5" s="32">
        <v>3</v>
      </c>
      <c r="B5" s="32">
        <v>9.0999967393749994</v>
      </c>
      <c r="C5" s="32">
        <v>37.063296000000001</v>
      </c>
      <c r="D5" s="32">
        <v>398.036</v>
      </c>
      <c r="E5" s="32">
        <v>42.465000000000003</v>
      </c>
      <c r="F5" s="32">
        <v>270</v>
      </c>
      <c r="G5" s="32">
        <v>0</v>
      </c>
      <c r="H5" s="32">
        <v>200</v>
      </c>
      <c r="I5" s="34">
        <v>1.7520000000000001E-2</v>
      </c>
      <c r="J5" s="34">
        <v>1.718E-4</v>
      </c>
      <c r="K5" s="34">
        <v>1.4630000000000001E-5</v>
      </c>
      <c r="L5" s="32">
        <v>2736.7775165020857</v>
      </c>
      <c r="M5" s="32">
        <v>9.0999967393749994</v>
      </c>
      <c r="N5" s="32">
        <v>0</v>
      </c>
      <c r="O5" s="32">
        <v>0</v>
      </c>
      <c r="P5" s="32">
        <v>0</v>
      </c>
      <c r="Q5" s="32">
        <v>0</v>
      </c>
      <c r="R5" s="32">
        <v>3.6539323856990547E-4</v>
      </c>
      <c r="S5" s="32">
        <v>0</v>
      </c>
      <c r="T5" s="32">
        <v>0</v>
      </c>
      <c r="U5" s="32">
        <v>0</v>
      </c>
      <c r="V5" s="32">
        <v>0</v>
      </c>
      <c r="W5" s="32">
        <v>3.6539323856990547E-4</v>
      </c>
      <c r="X5" s="32">
        <v>3.6539323856990547E-4</v>
      </c>
      <c r="Y5" s="32">
        <v>0</v>
      </c>
      <c r="Z5" s="32">
        <v>3.2885391471291492E-3</v>
      </c>
      <c r="AA5" s="32">
        <v>0</v>
      </c>
      <c r="AB5" s="32">
        <v>0</v>
      </c>
      <c r="AC5" s="32">
        <v>0</v>
      </c>
    </row>
    <row r="6" spans="1:29" x14ac:dyDescent="0.25">
      <c r="A6" s="32">
        <v>4</v>
      </c>
      <c r="B6" s="32">
        <v>9.1498388581590007</v>
      </c>
      <c r="C6" s="32">
        <v>32.574160999999997</v>
      </c>
      <c r="D6" s="32">
        <v>395.12200000000001</v>
      </c>
      <c r="E6" s="32">
        <v>42.554000000000002</v>
      </c>
      <c r="F6" s="32">
        <v>270</v>
      </c>
      <c r="G6" s="32">
        <v>0</v>
      </c>
      <c r="H6" s="32">
        <v>200</v>
      </c>
      <c r="I6" s="34">
        <v>1.7389999999999999E-2</v>
      </c>
      <c r="J6" s="34">
        <v>1.739E-4</v>
      </c>
      <c r="K6" s="34">
        <v>1.4579999999999999E-5</v>
      </c>
      <c r="L6" s="32">
        <v>2706.3013958266342</v>
      </c>
      <c r="M6" s="32">
        <v>9.1498388581590007</v>
      </c>
      <c r="N6" s="32">
        <v>0</v>
      </c>
      <c r="O6" s="32">
        <v>0</v>
      </c>
      <c r="P6" s="32">
        <v>0</v>
      </c>
      <c r="Q6" s="32">
        <v>0</v>
      </c>
      <c r="R6" s="32">
        <v>0</v>
      </c>
      <c r="S6" s="32">
        <v>0</v>
      </c>
      <c r="T6" s="32">
        <v>0</v>
      </c>
      <c r="U6" s="32">
        <v>0</v>
      </c>
      <c r="V6" s="32">
        <v>0</v>
      </c>
      <c r="W6" s="32">
        <v>0</v>
      </c>
      <c r="X6" s="32">
        <v>3.6950799402538537E-4</v>
      </c>
      <c r="Y6" s="32">
        <v>0</v>
      </c>
      <c r="Z6" s="32">
        <v>2.956063952203083E-3</v>
      </c>
      <c r="AA6" s="32">
        <v>0</v>
      </c>
      <c r="AB6" s="32">
        <v>0</v>
      </c>
      <c r="AC6" s="32">
        <v>0</v>
      </c>
    </row>
    <row r="7" spans="1:29" x14ac:dyDescent="0.25">
      <c r="A7" s="32">
        <v>5</v>
      </c>
      <c r="B7" s="32">
        <v>9.1995071281970002</v>
      </c>
      <c r="C7" s="32">
        <v>29.567101999999998</v>
      </c>
      <c r="D7" s="32">
        <v>397.33800000000002</v>
      </c>
      <c r="E7" s="32">
        <v>42.642000000000003</v>
      </c>
      <c r="F7" s="32">
        <v>270</v>
      </c>
      <c r="G7" s="32">
        <v>0</v>
      </c>
      <c r="H7" s="32">
        <v>200</v>
      </c>
      <c r="I7" s="34">
        <v>1.7479999999999999E-2</v>
      </c>
      <c r="J7" s="34">
        <v>1.7249999999999999E-4</v>
      </c>
      <c r="K7" s="34">
        <v>1.4620000000000001E-5</v>
      </c>
      <c r="L7" s="32">
        <v>2698.2624347592696</v>
      </c>
      <c r="M7" s="32">
        <v>9.1995071281970002</v>
      </c>
      <c r="N7" s="32">
        <v>0</v>
      </c>
      <c r="O7" s="32">
        <v>0</v>
      </c>
      <c r="P7" s="32">
        <v>3.7060887299838086E-4</v>
      </c>
      <c r="Q7" s="32">
        <v>0</v>
      </c>
      <c r="R7" s="32">
        <v>7.4121774599676172E-4</v>
      </c>
      <c r="S7" s="32">
        <v>1.0191744007455474E-4</v>
      </c>
      <c r="T7" s="32">
        <v>0</v>
      </c>
      <c r="U7" s="32">
        <v>0</v>
      </c>
      <c r="V7" s="32">
        <v>0</v>
      </c>
      <c r="W7" s="32">
        <v>0</v>
      </c>
      <c r="X7" s="32">
        <v>7.4121774599676172E-4</v>
      </c>
      <c r="Y7" s="32">
        <v>0</v>
      </c>
      <c r="Z7" s="32">
        <v>1.8530443649919042E-3</v>
      </c>
      <c r="AA7" s="32">
        <v>3.7060887299838086E-4</v>
      </c>
      <c r="AB7" s="32">
        <v>0</v>
      </c>
      <c r="AC7" s="32">
        <v>0</v>
      </c>
    </row>
    <row r="8" spans="1:29" x14ac:dyDescent="0.25">
      <c r="A8" s="32">
        <v>6</v>
      </c>
      <c r="B8" s="32">
        <v>9.2496179326700005</v>
      </c>
      <c r="C8" s="32">
        <v>26.61082</v>
      </c>
      <c r="D8" s="32">
        <v>400.142</v>
      </c>
      <c r="E8" s="32">
        <v>42.73</v>
      </c>
      <c r="F8" s="32">
        <v>270</v>
      </c>
      <c r="G8" s="32">
        <v>0</v>
      </c>
      <c r="H8" s="32">
        <v>200</v>
      </c>
      <c r="I8" s="34">
        <v>1.7350000000000001E-2</v>
      </c>
      <c r="J8" s="34">
        <v>1.706E-4</v>
      </c>
      <c r="K8" s="34">
        <v>1.472E-5</v>
      </c>
      <c r="L8" s="32">
        <v>2692.0099348421272</v>
      </c>
      <c r="M8" s="32">
        <v>9.2496179326700005</v>
      </c>
      <c r="N8" s="32">
        <v>0</v>
      </c>
      <c r="O8" s="32">
        <v>3.7146965434904492E-4</v>
      </c>
      <c r="P8" s="32">
        <v>0</v>
      </c>
      <c r="Q8" s="32">
        <v>0</v>
      </c>
      <c r="R8" s="32">
        <v>3.7146965434904492E-4</v>
      </c>
      <c r="S8" s="32">
        <v>3.7146965434904492E-4</v>
      </c>
      <c r="T8" s="32">
        <v>0</v>
      </c>
      <c r="U8" s="32">
        <v>0</v>
      </c>
      <c r="V8" s="32">
        <v>3.7146965434904492E-4</v>
      </c>
      <c r="W8" s="32">
        <v>0</v>
      </c>
      <c r="X8" s="32">
        <v>7.4293930869808985E-4</v>
      </c>
      <c r="Y8" s="32">
        <v>0</v>
      </c>
      <c r="Z8" s="32">
        <v>7.4293930869808985E-4</v>
      </c>
      <c r="AA8" s="32">
        <v>3.7146965434904492E-4</v>
      </c>
      <c r="AB8" s="32">
        <v>0</v>
      </c>
      <c r="AC8" s="32">
        <v>0</v>
      </c>
    </row>
    <row r="9" spans="1:29" x14ac:dyDescent="0.25">
      <c r="A9" s="32">
        <v>7</v>
      </c>
      <c r="B9" s="32">
        <v>9.2999754577709997</v>
      </c>
      <c r="C9" s="32">
        <v>23.910450999999998</v>
      </c>
      <c r="D9" s="32">
        <v>397.28300000000002</v>
      </c>
      <c r="E9" s="32">
        <v>42.817999999999998</v>
      </c>
      <c r="F9" s="32">
        <v>270</v>
      </c>
      <c r="G9" s="32">
        <v>0</v>
      </c>
      <c r="H9" s="32">
        <v>200</v>
      </c>
      <c r="I9" s="34">
        <v>1.7409999999999998E-2</v>
      </c>
      <c r="J9" s="34">
        <v>1.7249999999999999E-4</v>
      </c>
      <c r="K9" s="34">
        <v>1.4759999999999999E-5</v>
      </c>
      <c r="L9" s="32">
        <v>2648.0052889702852</v>
      </c>
      <c r="M9" s="32">
        <v>9.2999754577709997</v>
      </c>
      <c r="N9" s="32">
        <v>0</v>
      </c>
      <c r="O9" s="32">
        <v>0</v>
      </c>
      <c r="P9" s="32">
        <v>0</v>
      </c>
      <c r="Q9" s="32">
        <v>0</v>
      </c>
      <c r="R9" s="32">
        <v>3.7764275024875963E-4</v>
      </c>
      <c r="S9" s="32">
        <v>0</v>
      </c>
      <c r="T9" s="32">
        <v>0</v>
      </c>
      <c r="U9" s="32">
        <v>7.5528550049751926E-4</v>
      </c>
      <c r="V9" s="32">
        <v>0</v>
      </c>
      <c r="W9" s="32">
        <v>0</v>
      </c>
      <c r="X9" s="32">
        <v>1.6049816885572285E-4</v>
      </c>
      <c r="Y9" s="32">
        <v>0</v>
      </c>
      <c r="Z9" s="32">
        <v>1.5105710009950385E-3</v>
      </c>
      <c r="AA9" s="32">
        <v>0</v>
      </c>
      <c r="AB9" s="32">
        <v>0</v>
      </c>
      <c r="AC9" s="32">
        <v>0</v>
      </c>
    </row>
    <row r="10" spans="1:29" x14ac:dyDescent="0.25">
      <c r="A10" s="32">
        <v>8</v>
      </c>
      <c r="B10" s="32">
        <v>9.3500527518870005</v>
      </c>
      <c r="C10" s="32">
        <v>21.721316999999999</v>
      </c>
      <c r="D10" s="32">
        <v>400.334</v>
      </c>
      <c r="E10" s="32">
        <v>42.905000000000001</v>
      </c>
      <c r="F10" s="32">
        <v>270</v>
      </c>
      <c r="G10" s="32">
        <v>0</v>
      </c>
      <c r="H10" s="32">
        <v>200</v>
      </c>
      <c r="I10" s="34">
        <v>1.7389999999999999E-2</v>
      </c>
      <c r="J10" s="34">
        <v>1.7249999999999999E-4</v>
      </c>
      <c r="K10" s="34">
        <v>1.4769999999999999E-5</v>
      </c>
      <c r="L10" s="32">
        <v>2643.9740273292541</v>
      </c>
      <c r="M10" s="32">
        <v>9.3500527518870005</v>
      </c>
      <c r="N10" s="32">
        <v>0</v>
      </c>
      <c r="O10" s="32">
        <v>0</v>
      </c>
      <c r="P10" s="32">
        <v>0</v>
      </c>
      <c r="Q10" s="32">
        <v>0</v>
      </c>
      <c r="R10" s="32">
        <v>0</v>
      </c>
      <c r="S10" s="32">
        <v>0</v>
      </c>
      <c r="T10" s="32">
        <v>0</v>
      </c>
      <c r="U10" s="32">
        <v>3.7821854135614398E-4</v>
      </c>
      <c r="V10" s="32">
        <v>0</v>
      </c>
      <c r="W10" s="32">
        <v>0</v>
      </c>
      <c r="X10" s="32">
        <v>1.5128741654245759E-3</v>
      </c>
      <c r="Y10" s="32">
        <v>0</v>
      </c>
      <c r="Z10" s="32">
        <v>2.2693112481368639E-3</v>
      </c>
      <c r="AA10" s="32">
        <v>0</v>
      </c>
      <c r="AB10" s="32">
        <v>0</v>
      </c>
      <c r="AC10" s="32">
        <v>0</v>
      </c>
    </row>
    <row r="11" spans="1:29" x14ac:dyDescent="0.25">
      <c r="A11" s="32">
        <v>9</v>
      </c>
      <c r="B11" s="32">
        <v>9.3997460832369999</v>
      </c>
      <c r="C11" s="32">
        <v>20.495588999999999</v>
      </c>
      <c r="D11" s="32">
        <v>397.41500000000002</v>
      </c>
      <c r="E11" s="32">
        <v>42.991999999999997</v>
      </c>
      <c r="F11" s="32">
        <v>270</v>
      </c>
      <c r="G11" s="32">
        <v>0</v>
      </c>
      <c r="H11" s="32">
        <v>200</v>
      </c>
      <c r="I11" s="34">
        <v>1.7500000000000002E-2</v>
      </c>
      <c r="J11" s="34">
        <v>1.7369999999999999E-4</v>
      </c>
      <c r="K11" s="34">
        <v>1.4769999999999999E-5</v>
      </c>
      <c r="L11" s="32">
        <v>2601.1246118344361</v>
      </c>
      <c r="M11" s="32">
        <v>9.3997460832369999</v>
      </c>
      <c r="N11" s="32">
        <v>3.8444909384589333E-4</v>
      </c>
      <c r="O11" s="32">
        <v>0</v>
      </c>
      <c r="P11" s="32">
        <v>0</v>
      </c>
      <c r="Q11" s="32">
        <v>3.8444909384589333E-4</v>
      </c>
      <c r="R11" s="32">
        <v>0</v>
      </c>
      <c r="S11" s="32">
        <v>0</v>
      </c>
      <c r="T11" s="32">
        <v>0</v>
      </c>
      <c r="U11" s="32">
        <v>1.15334728153768E-3</v>
      </c>
      <c r="V11" s="32">
        <v>0</v>
      </c>
      <c r="W11" s="32">
        <v>3.8444909384589333E-4</v>
      </c>
      <c r="X11" s="32">
        <v>3.8444909384589333E-4</v>
      </c>
      <c r="Y11" s="32">
        <v>0</v>
      </c>
      <c r="Z11" s="32">
        <v>2.9698692499595257E-3</v>
      </c>
      <c r="AA11" s="32">
        <v>7.6889818769178666E-4</v>
      </c>
      <c r="AB11" s="32">
        <v>7.6889818769178666E-4</v>
      </c>
      <c r="AC11" s="32">
        <v>0</v>
      </c>
    </row>
    <row r="12" spans="1:29" x14ac:dyDescent="0.25">
      <c r="A12" s="32">
        <v>10</v>
      </c>
      <c r="B12" s="32">
        <v>9.4497624552549997</v>
      </c>
      <c r="C12" s="32">
        <v>18.965496000000002</v>
      </c>
      <c r="D12" s="32">
        <v>400.77</v>
      </c>
      <c r="E12" s="32">
        <v>43.078000000000003</v>
      </c>
      <c r="F12" s="32">
        <v>270</v>
      </c>
      <c r="G12" s="32">
        <v>0</v>
      </c>
      <c r="H12" s="32">
        <v>200</v>
      </c>
      <c r="I12" s="34">
        <v>1.7389999999999999E-2</v>
      </c>
      <c r="J12" s="34">
        <v>1.7330000000000001E-4</v>
      </c>
      <c r="K12" s="34">
        <v>1.4769999999999999E-5</v>
      </c>
      <c r="L12" s="32">
        <v>2599.5860761459635</v>
      </c>
      <c r="M12" s="32">
        <v>9.4497624552549997</v>
      </c>
      <c r="N12" s="32">
        <v>0</v>
      </c>
      <c r="O12" s="32">
        <v>0</v>
      </c>
      <c r="P12" s="32">
        <v>0</v>
      </c>
      <c r="Q12" s="32">
        <v>0</v>
      </c>
      <c r="R12" s="32">
        <v>0</v>
      </c>
      <c r="S12" s="32">
        <v>0</v>
      </c>
      <c r="T12" s="32">
        <v>0</v>
      </c>
      <c r="U12" s="32">
        <v>0</v>
      </c>
      <c r="V12" s="32">
        <v>0</v>
      </c>
      <c r="W12" s="32">
        <v>0</v>
      </c>
      <c r="X12" s="32">
        <v>4.6161195084529353E-3</v>
      </c>
      <c r="Y12" s="32">
        <v>0</v>
      </c>
      <c r="Z12" s="32">
        <v>3.4620896313397017E-3</v>
      </c>
      <c r="AA12" s="32">
        <v>3.8467662570441127E-4</v>
      </c>
      <c r="AB12" s="32">
        <v>0</v>
      </c>
      <c r="AC12" s="32">
        <v>0</v>
      </c>
    </row>
    <row r="13" spans="1:29" x14ac:dyDescent="0.25">
      <c r="A13" s="32">
        <v>11</v>
      </c>
      <c r="B13" s="32">
        <v>9.4997008353380004</v>
      </c>
      <c r="C13" s="32">
        <v>18.394773000000001</v>
      </c>
      <c r="D13" s="32">
        <v>398.01600000000002</v>
      </c>
      <c r="E13" s="32">
        <v>43.165999999999997</v>
      </c>
      <c r="F13" s="32">
        <v>270</v>
      </c>
      <c r="G13" s="32">
        <v>0</v>
      </c>
      <c r="H13" s="32">
        <v>200</v>
      </c>
      <c r="I13" s="34">
        <v>1.7350000000000001E-2</v>
      </c>
      <c r="J13" s="34">
        <v>1.7369999999999999E-4</v>
      </c>
      <c r="K13" s="34">
        <v>1.491E-5</v>
      </c>
      <c r="L13" s="32">
        <v>2558.8362009506181</v>
      </c>
      <c r="M13" s="32">
        <v>9.4997008353380004</v>
      </c>
      <c r="N13" s="32">
        <v>0</v>
      </c>
      <c r="O13" s="32">
        <v>3.908026624089873E-4</v>
      </c>
      <c r="P13" s="32">
        <v>0</v>
      </c>
      <c r="Q13" s="32">
        <v>0</v>
      </c>
      <c r="R13" s="32">
        <v>0</v>
      </c>
      <c r="S13" s="32">
        <v>0</v>
      </c>
      <c r="T13" s="32">
        <v>0</v>
      </c>
      <c r="U13" s="32">
        <v>0</v>
      </c>
      <c r="V13" s="32">
        <v>3.908026624089873E-4</v>
      </c>
      <c r="W13" s="32">
        <v>0</v>
      </c>
      <c r="X13" s="32">
        <v>2.3448159744539239E-3</v>
      </c>
      <c r="Y13" s="32">
        <v>0</v>
      </c>
      <c r="Z13" s="32">
        <v>1.5632106496359492E-3</v>
      </c>
      <c r="AA13" s="32">
        <v>0</v>
      </c>
      <c r="AB13" s="32">
        <v>0</v>
      </c>
      <c r="AC13" s="32">
        <v>3.908026624089873E-4</v>
      </c>
    </row>
    <row r="14" spans="1:29" x14ac:dyDescent="0.25">
      <c r="A14" s="32">
        <v>12</v>
      </c>
      <c r="B14" s="32">
        <v>9.5500282071899996</v>
      </c>
      <c r="C14" s="32">
        <v>17.711953000000001</v>
      </c>
      <c r="D14" s="32">
        <v>395.279</v>
      </c>
      <c r="E14" s="32">
        <v>43.252000000000002</v>
      </c>
      <c r="F14" s="32">
        <v>270</v>
      </c>
      <c r="G14" s="32">
        <v>0</v>
      </c>
      <c r="H14" s="32">
        <v>200</v>
      </c>
      <c r="I14" s="34">
        <v>1.7389999999999999E-2</v>
      </c>
      <c r="J14" s="34">
        <v>1.7139999999999999E-4</v>
      </c>
      <c r="K14" s="34">
        <v>1.4769999999999999E-5</v>
      </c>
      <c r="L14" s="32">
        <v>2518.7383855701714</v>
      </c>
      <c r="M14" s="32">
        <v>9.5500282071899996</v>
      </c>
      <c r="N14" s="32">
        <v>3.9702416325926928E-4</v>
      </c>
      <c r="O14" s="32">
        <v>0</v>
      </c>
      <c r="P14" s="32">
        <v>0</v>
      </c>
      <c r="Q14" s="32">
        <v>0</v>
      </c>
      <c r="R14" s="32">
        <v>0</v>
      </c>
      <c r="S14" s="32">
        <v>0</v>
      </c>
      <c r="T14" s="32">
        <v>3.9702416325926928E-4</v>
      </c>
      <c r="U14" s="32">
        <v>3.9702416325926928E-4</v>
      </c>
      <c r="V14" s="32">
        <v>3.9702416325926928E-4</v>
      </c>
      <c r="W14" s="32">
        <v>0</v>
      </c>
      <c r="X14" s="32">
        <v>2.7791691428148847E-3</v>
      </c>
      <c r="Y14" s="32">
        <v>0</v>
      </c>
      <c r="Z14" s="32">
        <v>3.1761933060741542E-3</v>
      </c>
      <c r="AA14" s="32">
        <v>0</v>
      </c>
      <c r="AB14" s="32">
        <v>0</v>
      </c>
      <c r="AC14" s="32">
        <v>0</v>
      </c>
    </row>
    <row r="15" spans="1:29" x14ac:dyDescent="0.25">
      <c r="A15" s="32">
        <v>13</v>
      </c>
      <c r="B15" s="32">
        <v>9.5998182868500006</v>
      </c>
      <c r="C15" s="32">
        <v>17.134484</v>
      </c>
      <c r="D15" s="32">
        <v>395.80700000000002</v>
      </c>
      <c r="E15" s="32">
        <v>43.338000000000001</v>
      </c>
      <c r="F15" s="32">
        <v>270</v>
      </c>
      <c r="G15" s="32">
        <v>0</v>
      </c>
      <c r="H15" s="32">
        <v>200</v>
      </c>
      <c r="I15" s="34">
        <v>1.7440000000000001E-2</v>
      </c>
      <c r="J15" s="34">
        <v>1.729E-4</v>
      </c>
      <c r="K15" s="34">
        <v>1.488E-5</v>
      </c>
      <c r="L15" s="32">
        <v>2500.2008610810017</v>
      </c>
      <c r="M15" s="32">
        <v>9.5998182868500006</v>
      </c>
      <c r="N15" s="32">
        <v>0</v>
      </c>
      <c r="O15" s="32">
        <v>0</v>
      </c>
      <c r="P15" s="32">
        <v>0</v>
      </c>
      <c r="Q15" s="32">
        <v>0</v>
      </c>
      <c r="R15" s="32">
        <v>0</v>
      </c>
      <c r="S15" s="32">
        <v>0</v>
      </c>
      <c r="T15" s="32">
        <v>7.9993572961784682E-4</v>
      </c>
      <c r="U15" s="32">
        <v>0</v>
      </c>
      <c r="V15" s="32">
        <v>0</v>
      </c>
      <c r="W15" s="32">
        <v>0</v>
      </c>
      <c r="X15" s="32">
        <v>2.7997750536624638E-3</v>
      </c>
      <c r="Y15" s="32">
        <v>0</v>
      </c>
      <c r="Z15" s="32">
        <v>4.689623214884627E-3</v>
      </c>
      <c r="AA15" s="32">
        <v>0</v>
      </c>
      <c r="AB15" s="32">
        <v>0</v>
      </c>
      <c r="AC15" s="32">
        <v>0</v>
      </c>
    </row>
    <row r="16" spans="1:29" x14ac:dyDescent="0.25">
      <c r="A16" s="32">
        <v>14</v>
      </c>
      <c r="B16" s="32">
        <v>9.6497506855130002</v>
      </c>
      <c r="C16" s="32">
        <v>16.914677000000001</v>
      </c>
      <c r="D16" s="32">
        <v>397.97</v>
      </c>
      <c r="E16" s="32">
        <v>43.423000000000002</v>
      </c>
      <c r="F16" s="32">
        <v>270</v>
      </c>
      <c r="G16" s="32">
        <v>0</v>
      </c>
      <c r="H16" s="32">
        <v>200</v>
      </c>
      <c r="I16" s="34">
        <v>1.7440000000000001E-2</v>
      </c>
      <c r="J16" s="34">
        <v>1.7369999999999999E-4</v>
      </c>
      <c r="K16" s="34">
        <v>1.4739999999999999E-5</v>
      </c>
      <c r="L16" s="32">
        <v>2492.1601141910664</v>
      </c>
      <c r="M16" s="32">
        <v>9.6497506855130002</v>
      </c>
      <c r="N16" s="32">
        <v>0</v>
      </c>
      <c r="O16" s="32">
        <v>0</v>
      </c>
      <c r="P16" s="32">
        <v>0</v>
      </c>
      <c r="Q16" s="32">
        <v>0</v>
      </c>
      <c r="R16" s="32">
        <v>0</v>
      </c>
      <c r="S16" s="32">
        <v>0</v>
      </c>
      <c r="T16" s="32">
        <v>0</v>
      </c>
      <c r="U16" s="32">
        <v>0</v>
      </c>
      <c r="V16" s="32">
        <v>0</v>
      </c>
      <c r="W16" s="32">
        <v>0</v>
      </c>
      <c r="X16" s="32">
        <v>3.3806014116130267E-3</v>
      </c>
      <c r="Y16" s="32">
        <v>4.0125832778789631E-4</v>
      </c>
      <c r="Z16" s="32">
        <v>1.203774983363689E-3</v>
      </c>
      <c r="AA16" s="32">
        <v>4.0125832778789631E-4</v>
      </c>
      <c r="AB16" s="32">
        <v>4.0125832778789631E-4</v>
      </c>
      <c r="AC16" s="32">
        <v>0</v>
      </c>
    </row>
    <row r="17" spans="1:29" x14ac:dyDescent="0.25">
      <c r="A17" s="32">
        <v>15</v>
      </c>
      <c r="B17" s="32">
        <v>9.6997486642839998</v>
      </c>
      <c r="C17" s="32">
        <v>16.766884000000001</v>
      </c>
      <c r="D17" s="32">
        <v>395.25799999999998</v>
      </c>
      <c r="E17" s="32">
        <v>43.508000000000003</v>
      </c>
      <c r="F17" s="32">
        <v>270</v>
      </c>
      <c r="G17" s="32">
        <v>0</v>
      </c>
      <c r="H17" s="32">
        <v>200</v>
      </c>
      <c r="I17" s="34">
        <v>1.7440000000000001E-2</v>
      </c>
      <c r="J17" s="34">
        <v>1.7349999999999999E-4</v>
      </c>
      <c r="K17" s="34">
        <v>1.489E-5</v>
      </c>
      <c r="L17" s="32">
        <v>2453.9626141391846</v>
      </c>
      <c r="M17" s="32">
        <v>9.6997486642839998</v>
      </c>
      <c r="N17" s="32">
        <v>0</v>
      </c>
      <c r="O17" s="32">
        <v>0</v>
      </c>
      <c r="P17" s="32">
        <v>0</v>
      </c>
      <c r="Q17" s="32">
        <v>0</v>
      </c>
      <c r="R17" s="32">
        <v>8.1500834139707206E-4</v>
      </c>
      <c r="S17" s="32">
        <v>0</v>
      </c>
      <c r="T17" s="32">
        <v>0</v>
      </c>
      <c r="U17" s="32">
        <v>4.0750417069853603E-4</v>
      </c>
      <c r="V17" s="32">
        <v>0</v>
      </c>
      <c r="W17" s="32">
        <v>0</v>
      </c>
      <c r="X17" s="32">
        <v>2.4450250241912163E-3</v>
      </c>
      <c r="Y17" s="32">
        <v>0</v>
      </c>
      <c r="Z17" s="32">
        <v>2.7404655479476548E-3</v>
      </c>
      <c r="AA17" s="32">
        <v>0</v>
      </c>
      <c r="AB17" s="32">
        <v>0</v>
      </c>
      <c r="AC17" s="32">
        <v>0</v>
      </c>
    </row>
    <row r="18" spans="1:29" x14ac:dyDescent="0.25">
      <c r="A18" s="32">
        <v>16</v>
      </c>
      <c r="B18" s="32">
        <v>9.7500829239429994</v>
      </c>
      <c r="C18" s="32">
        <v>16.431108999999999</v>
      </c>
      <c r="D18" s="32">
        <v>396.625</v>
      </c>
      <c r="E18" s="32">
        <v>43.593000000000004</v>
      </c>
      <c r="F18" s="32">
        <v>270</v>
      </c>
      <c r="G18" s="32">
        <v>0</v>
      </c>
      <c r="H18" s="32">
        <v>200</v>
      </c>
      <c r="I18" s="34">
        <v>1.7330000000000002E-2</v>
      </c>
      <c r="J18" s="34">
        <v>1.7349999999999999E-4</v>
      </c>
      <c r="K18" s="34">
        <v>1.4929999999999999E-5</v>
      </c>
      <c r="L18" s="32">
        <v>2441.3840774910868</v>
      </c>
      <c r="M18" s="32">
        <v>9.7500829239429994</v>
      </c>
      <c r="N18" s="32">
        <v>4.0960371996349716E-4</v>
      </c>
      <c r="O18" s="32">
        <v>0</v>
      </c>
      <c r="P18" s="32">
        <v>0</v>
      </c>
      <c r="Q18" s="32">
        <v>0</v>
      </c>
      <c r="R18" s="32">
        <v>4.0960371996349716E-4</v>
      </c>
      <c r="S18" s="32">
        <v>0</v>
      </c>
      <c r="T18" s="32">
        <v>0</v>
      </c>
      <c r="U18" s="32">
        <v>4.0960371996349716E-4</v>
      </c>
      <c r="V18" s="32">
        <v>0</v>
      </c>
      <c r="W18" s="32">
        <v>0</v>
      </c>
      <c r="X18" s="32">
        <v>3.6864334796714747E-3</v>
      </c>
      <c r="Y18" s="32">
        <v>0</v>
      </c>
      <c r="Z18" s="32">
        <v>1.2288111598904915E-3</v>
      </c>
      <c r="AA18" s="32">
        <v>4.0960371996349716E-4</v>
      </c>
      <c r="AB18" s="32">
        <v>4.0960371996349716E-4</v>
      </c>
      <c r="AC18" s="32">
        <v>0</v>
      </c>
    </row>
    <row r="19" spans="1:29" x14ac:dyDescent="0.25">
      <c r="A19" s="32">
        <v>17</v>
      </c>
      <c r="B19" s="32">
        <v>9.7999355727459996</v>
      </c>
      <c r="C19" s="32">
        <v>16.495502999999999</v>
      </c>
      <c r="D19" s="32">
        <v>399.84899999999999</v>
      </c>
      <c r="E19" s="32">
        <v>43.677</v>
      </c>
      <c r="F19" s="32">
        <v>270</v>
      </c>
      <c r="G19" s="32">
        <v>0</v>
      </c>
      <c r="H19" s="32">
        <v>200</v>
      </c>
      <c r="I19" s="34">
        <v>1.737E-2</v>
      </c>
      <c r="J19" s="34">
        <v>1.7349999999999999E-4</v>
      </c>
      <c r="K19" s="34">
        <v>1.4949999999999999E-5</v>
      </c>
      <c r="L19" s="32">
        <v>2440.5506158900707</v>
      </c>
      <c r="M19" s="32">
        <v>9.7999355727459996</v>
      </c>
      <c r="N19" s="32">
        <v>0</v>
      </c>
      <c r="O19" s="32">
        <v>0</v>
      </c>
      <c r="P19" s="32">
        <v>0</v>
      </c>
      <c r="Q19" s="32">
        <v>0</v>
      </c>
      <c r="R19" s="32">
        <v>4.0974360191062834E-4</v>
      </c>
      <c r="S19" s="32">
        <v>0</v>
      </c>
      <c r="T19" s="32">
        <v>8.1948720382125668E-4</v>
      </c>
      <c r="U19" s="32">
        <v>0</v>
      </c>
      <c r="V19" s="32">
        <v>0</v>
      </c>
      <c r="W19" s="32">
        <v>0</v>
      </c>
      <c r="X19" s="32">
        <v>2.1613975000785647E-3</v>
      </c>
      <c r="Y19" s="32">
        <v>8.1948720382125668E-4</v>
      </c>
      <c r="Z19" s="32">
        <v>3.2779488152850267E-3</v>
      </c>
      <c r="AA19" s="32">
        <v>0</v>
      </c>
      <c r="AB19" s="32">
        <v>0</v>
      </c>
      <c r="AC19" s="32">
        <v>0</v>
      </c>
    </row>
    <row r="20" spans="1:29" x14ac:dyDescent="0.25">
      <c r="A20" s="32">
        <v>18</v>
      </c>
      <c r="B20" s="32">
        <v>9.8499239880210006</v>
      </c>
      <c r="C20" s="32">
        <v>16.474827000000001</v>
      </c>
      <c r="D20" s="32">
        <v>397.08800000000002</v>
      </c>
      <c r="E20" s="32">
        <v>43.761000000000003</v>
      </c>
      <c r="F20" s="32">
        <v>270</v>
      </c>
      <c r="G20" s="32">
        <v>0</v>
      </c>
      <c r="H20" s="32">
        <v>200</v>
      </c>
      <c r="I20" s="34">
        <v>1.7440000000000001E-2</v>
      </c>
      <c r="J20" s="34">
        <v>1.739E-4</v>
      </c>
      <c r="K20" s="34">
        <v>1.507E-5</v>
      </c>
      <c r="L20" s="32">
        <v>2403.450339785401</v>
      </c>
      <c r="M20" s="32">
        <v>9.8499239880210006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0</v>
      </c>
      <c r="T20" s="32">
        <v>4.1606850927874294E-4</v>
      </c>
      <c r="U20" s="32">
        <v>0</v>
      </c>
      <c r="V20" s="32">
        <v>4.1606850927874294E-4</v>
      </c>
      <c r="W20" s="32">
        <v>0</v>
      </c>
      <c r="X20" s="32">
        <v>2.8500692885593893E-3</v>
      </c>
      <c r="Y20" s="32">
        <v>6.5530790211402014E-4</v>
      </c>
      <c r="Z20" s="32">
        <v>7.1771817850583165E-4</v>
      </c>
      <c r="AA20" s="32">
        <v>4.1606850927874294E-4</v>
      </c>
      <c r="AB20" s="32">
        <v>4.1606850927874294E-4</v>
      </c>
      <c r="AC20" s="32">
        <v>0</v>
      </c>
    </row>
    <row r="21" spans="1:29" x14ac:dyDescent="0.25">
      <c r="A21" s="32">
        <v>19</v>
      </c>
      <c r="B21" s="32">
        <v>9.8999303517860007</v>
      </c>
      <c r="C21" s="32">
        <v>16.048162999999999</v>
      </c>
      <c r="D21" s="32">
        <v>400.47199999999998</v>
      </c>
      <c r="E21" s="32">
        <v>43.844999999999999</v>
      </c>
      <c r="F21" s="32">
        <v>270</v>
      </c>
      <c r="G21" s="32">
        <v>0</v>
      </c>
      <c r="H21" s="32">
        <v>200</v>
      </c>
      <c r="I21" s="34">
        <v>1.7350000000000001E-2</v>
      </c>
      <c r="J21" s="34">
        <v>1.7349999999999999E-4</v>
      </c>
      <c r="K21" s="34">
        <v>1.489E-5</v>
      </c>
      <c r="L21" s="32">
        <v>2422.7989699796403</v>
      </c>
      <c r="M21" s="32">
        <v>9.8999303517860007</v>
      </c>
      <c r="N21" s="32">
        <v>0</v>
      </c>
      <c r="O21" s="32">
        <v>0</v>
      </c>
      <c r="P21" s="32">
        <v>0</v>
      </c>
      <c r="Q21" s="32">
        <v>0</v>
      </c>
      <c r="R21" s="32">
        <v>8.2549151819096521E-4</v>
      </c>
      <c r="S21" s="32">
        <v>0</v>
      </c>
      <c r="T21" s="32">
        <v>8.2549151819096521E-4</v>
      </c>
      <c r="U21" s="32">
        <v>0</v>
      </c>
      <c r="V21" s="32">
        <v>0</v>
      </c>
      <c r="W21" s="32">
        <v>0</v>
      </c>
      <c r="X21" s="32">
        <v>2.8892203136683782E-3</v>
      </c>
      <c r="Y21" s="32">
        <v>2.3732881147990248E-4</v>
      </c>
      <c r="Z21" s="32">
        <v>3.7147118318593434E-3</v>
      </c>
      <c r="AA21" s="32">
        <v>0</v>
      </c>
      <c r="AB21" s="32">
        <v>0</v>
      </c>
      <c r="AC21" s="32">
        <v>0</v>
      </c>
    </row>
    <row r="22" spans="1:29" x14ac:dyDescent="0.25">
      <c r="A22" s="32">
        <v>20</v>
      </c>
      <c r="B22" s="32">
        <v>9.9497360313420007</v>
      </c>
      <c r="C22" s="32">
        <v>16.278604999999999</v>
      </c>
      <c r="D22" s="32">
        <v>397.67099999999999</v>
      </c>
      <c r="E22" s="32">
        <v>43.929000000000002</v>
      </c>
      <c r="F22" s="32">
        <v>270</v>
      </c>
      <c r="G22" s="32">
        <v>0</v>
      </c>
      <c r="H22" s="32">
        <v>200</v>
      </c>
      <c r="I22" s="34">
        <v>1.746E-2</v>
      </c>
      <c r="J22" s="34">
        <v>1.7349999999999999E-4</v>
      </c>
      <c r="K22" s="34">
        <v>1.502E-5</v>
      </c>
      <c r="L22" s="32">
        <v>2405.0697835980714</v>
      </c>
      <c r="M22" s="32">
        <v>9.9497360313420007</v>
      </c>
      <c r="N22" s="32">
        <v>0</v>
      </c>
      <c r="O22" s="32">
        <v>0</v>
      </c>
      <c r="P22" s="32">
        <v>0</v>
      </c>
      <c r="Q22" s="32">
        <v>0</v>
      </c>
      <c r="R22" s="32">
        <v>0</v>
      </c>
      <c r="S22" s="32">
        <v>0</v>
      </c>
      <c r="T22" s="32">
        <v>4.1578835126520274E-4</v>
      </c>
      <c r="U22" s="32">
        <v>0</v>
      </c>
      <c r="V22" s="32">
        <v>4.1578835126520274E-4</v>
      </c>
      <c r="W22" s="32">
        <v>4.1578835126520274E-4</v>
      </c>
      <c r="X22" s="32">
        <v>4.9894602151824329E-3</v>
      </c>
      <c r="Y22" s="32">
        <v>6.5486665324269425E-4</v>
      </c>
      <c r="Z22" s="32">
        <v>4.5736718639172299E-3</v>
      </c>
      <c r="AA22" s="32">
        <v>0</v>
      </c>
      <c r="AB22" s="32">
        <v>0</v>
      </c>
      <c r="AC22" s="32">
        <v>8.3157670253040548E-4</v>
      </c>
    </row>
    <row r="23" spans="1:29" x14ac:dyDescent="0.25">
      <c r="A23" s="32">
        <v>21</v>
      </c>
      <c r="B23" s="32">
        <v>9.9999677403669995</v>
      </c>
      <c r="C23" s="32">
        <v>15.949903000000001</v>
      </c>
      <c r="D23" s="32">
        <v>398.95</v>
      </c>
      <c r="E23" s="32">
        <v>44.012</v>
      </c>
      <c r="F23" s="32">
        <v>270</v>
      </c>
      <c r="G23" s="32">
        <v>0</v>
      </c>
      <c r="H23" s="32">
        <v>200</v>
      </c>
      <c r="I23" s="34">
        <v>1.7520000000000001E-2</v>
      </c>
      <c r="J23" s="34">
        <v>1.7459999999999999E-4</v>
      </c>
      <c r="K23" s="34">
        <v>1.502E-5</v>
      </c>
      <c r="L23" s="32">
        <v>2412.0127748907439</v>
      </c>
      <c r="M23" s="32">
        <v>9.9999677403669995</v>
      </c>
      <c r="N23" s="32">
        <v>0</v>
      </c>
      <c r="O23" s="32">
        <v>4.1459150233783345E-4</v>
      </c>
      <c r="P23" s="32">
        <v>0</v>
      </c>
      <c r="Q23" s="32">
        <v>4.1459150233783345E-4</v>
      </c>
      <c r="R23" s="32">
        <v>0</v>
      </c>
      <c r="S23" s="32">
        <v>0</v>
      </c>
      <c r="T23" s="32">
        <v>0</v>
      </c>
      <c r="U23" s="32">
        <v>0</v>
      </c>
      <c r="V23" s="32">
        <v>0</v>
      </c>
      <c r="W23" s="32">
        <v>0</v>
      </c>
      <c r="X23" s="32">
        <v>5.0891106911969061E-3</v>
      </c>
      <c r="Y23" s="32">
        <v>1.6583660093513338E-3</v>
      </c>
      <c r="Z23" s="32">
        <v>3.3167320187026676E-3</v>
      </c>
      <c r="AA23" s="32">
        <v>0</v>
      </c>
      <c r="AB23" s="32">
        <v>0</v>
      </c>
      <c r="AC23" s="32">
        <v>0</v>
      </c>
    </row>
    <row r="24" spans="1:29" x14ac:dyDescent="0.25">
      <c r="A24" s="32">
        <v>22</v>
      </c>
      <c r="B24" s="32">
        <v>10.049689733877001</v>
      </c>
      <c r="C24" s="32">
        <v>16.099497</v>
      </c>
      <c r="D24" s="32">
        <v>397.22399999999999</v>
      </c>
      <c r="E24" s="32">
        <v>44.094999999999999</v>
      </c>
      <c r="F24" s="32">
        <v>270</v>
      </c>
      <c r="G24" s="32">
        <v>0</v>
      </c>
      <c r="H24" s="32">
        <v>200</v>
      </c>
      <c r="I24" s="34">
        <v>1.737E-2</v>
      </c>
      <c r="J24" s="34">
        <v>1.739E-4</v>
      </c>
      <c r="K24" s="34">
        <v>1.509E-5</v>
      </c>
      <c r="L24" s="32">
        <v>2400.7972315516704</v>
      </c>
      <c r="M24" s="32">
        <v>10.049689733877001</v>
      </c>
      <c r="N24" s="32">
        <v>0</v>
      </c>
      <c r="O24" s="32">
        <v>0</v>
      </c>
      <c r="P24" s="32">
        <v>1.9785094457685647E-4</v>
      </c>
      <c r="Q24" s="32">
        <v>0</v>
      </c>
      <c r="R24" s="32">
        <v>0</v>
      </c>
      <c r="S24" s="32">
        <v>0</v>
      </c>
      <c r="T24" s="32">
        <v>8.3305660874465884E-4</v>
      </c>
      <c r="U24" s="32">
        <v>4.1652830437232942E-4</v>
      </c>
      <c r="V24" s="32">
        <v>0</v>
      </c>
      <c r="W24" s="32">
        <v>1.6661132174893177E-3</v>
      </c>
      <c r="X24" s="32">
        <v>4.1652830437232946E-3</v>
      </c>
      <c r="Y24" s="32">
        <v>0</v>
      </c>
      <c r="Z24" s="32">
        <v>1.9680962381592565E-3</v>
      </c>
      <c r="AA24" s="32">
        <v>0</v>
      </c>
      <c r="AB24" s="32">
        <v>0</v>
      </c>
      <c r="AC24" s="32">
        <v>0</v>
      </c>
    </row>
    <row r="25" spans="1:29" x14ac:dyDescent="0.25">
      <c r="A25" s="32">
        <v>23</v>
      </c>
      <c r="B25" s="32">
        <v>10.099789857319999</v>
      </c>
      <c r="C25" s="32">
        <v>16.240151999999998</v>
      </c>
      <c r="D25" s="32">
        <v>401.38200000000001</v>
      </c>
      <c r="E25" s="32">
        <v>44.177999999999997</v>
      </c>
      <c r="F25" s="32">
        <v>270</v>
      </c>
      <c r="G25" s="32">
        <v>0</v>
      </c>
      <c r="H25" s="32">
        <v>200</v>
      </c>
      <c r="I25" s="34">
        <v>1.7409999999999998E-2</v>
      </c>
      <c r="J25" s="34">
        <v>1.7440000000000001E-4</v>
      </c>
      <c r="K25" s="34">
        <v>1.507E-5</v>
      </c>
      <c r="L25" s="32">
        <v>2425.1339637284736</v>
      </c>
      <c r="M25" s="32">
        <v>10.099789857319999</v>
      </c>
      <c r="N25" s="32">
        <v>0</v>
      </c>
      <c r="O25" s="32">
        <v>0</v>
      </c>
      <c r="P25" s="32">
        <v>0</v>
      </c>
      <c r="Q25" s="32">
        <v>0</v>
      </c>
      <c r="R25" s="32">
        <v>4.1234835475338855E-4</v>
      </c>
      <c r="S25" s="32">
        <v>0</v>
      </c>
      <c r="T25" s="32">
        <v>8.2469670950677709E-4</v>
      </c>
      <c r="U25" s="32">
        <v>0</v>
      </c>
      <c r="V25" s="32">
        <v>4.1234835475338855E-4</v>
      </c>
      <c r="W25" s="32">
        <v>1.6493934190135542E-3</v>
      </c>
      <c r="X25" s="32">
        <v>9.896360514081326E-3</v>
      </c>
      <c r="Y25" s="32">
        <v>4.1234835475338855E-4</v>
      </c>
      <c r="Z25" s="32">
        <v>2.0617417737669426E-3</v>
      </c>
      <c r="AA25" s="32">
        <v>4.1234835475338855E-4</v>
      </c>
      <c r="AB25" s="32">
        <v>4.1234835475338855E-4</v>
      </c>
      <c r="AC25" s="32">
        <v>0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3549" r:id="rId3" name="ScaleDefault">
          <controlPr defaultSize="0" print="0" autoLine="0" r:id="rId4">
            <anchor moveWithCells="1">
              <from>
                <xdr:col>14</xdr:col>
                <xdr:colOff>457200</xdr:colOff>
                <xdr:row>18</xdr:row>
                <xdr:rowOff>123825</xdr:rowOff>
              </from>
              <to>
                <xdr:col>15</xdr:col>
                <xdr:colOff>276225</xdr:colOff>
                <xdr:row>20</xdr:row>
                <xdr:rowOff>19050</xdr:rowOff>
              </to>
            </anchor>
          </controlPr>
        </control>
      </mc:Choice>
      <mc:Fallback>
        <control shapeId="193549" r:id="rId3" name="ScaleDefault"/>
      </mc:Fallback>
    </mc:AlternateContent>
    <mc:AlternateContent xmlns:mc="http://schemas.openxmlformats.org/markup-compatibility/2006">
      <mc:Choice Requires="x14">
        <control shapeId="193548" r:id="rId5" name="ScaleYes">
          <controlPr defaultSize="0" print="0" autoLine="0" r:id="rId6">
            <anchor moveWithCells="1">
              <from>
                <xdr:col>13</xdr:col>
                <xdr:colOff>552450</xdr:colOff>
                <xdr:row>18</xdr:row>
                <xdr:rowOff>123825</xdr:rowOff>
              </from>
              <to>
                <xdr:col>14</xdr:col>
                <xdr:colOff>381000</xdr:colOff>
                <xdr:row>20</xdr:row>
                <xdr:rowOff>19050</xdr:rowOff>
              </to>
            </anchor>
          </controlPr>
        </control>
      </mc:Choice>
      <mc:Fallback>
        <control shapeId="193548" r:id="rId5" name="ScaleYes"/>
      </mc:Fallback>
    </mc:AlternateContent>
    <mc:AlternateContent xmlns:mc="http://schemas.openxmlformats.org/markup-compatibility/2006">
      <mc:Choice Requires="x14">
        <control shapeId="193547" r:id="rId7" name="YScaleMax">
          <controlPr defaultSize="0" print="0" autoLine="0" r:id="rId8">
            <anchor moveWithCells="1">
              <from>
                <xdr:col>14</xdr:col>
                <xdr:colOff>247650</xdr:colOff>
                <xdr:row>17</xdr:row>
                <xdr:rowOff>9525</xdr:rowOff>
              </from>
              <to>
                <xdr:col>15</xdr:col>
                <xdr:colOff>276225</xdr:colOff>
                <xdr:row>18</xdr:row>
                <xdr:rowOff>47625</xdr:rowOff>
              </to>
            </anchor>
          </controlPr>
        </control>
      </mc:Choice>
      <mc:Fallback>
        <control shapeId="193547" r:id="rId7" name="YScaleMax"/>
      </mc:Fallback>
    </mc:AlternateContent>
    <mc:AlternateContent xmlns:mc="http://schemas.openxmlformats.org/markup-compatibility/2006">
      <mc:Choice Requires="x14">
        <control shapeId="193546" r:id="rId9" name="YScaleMin">
          <controlPr defaultSize="0" print="0" autoLine="0" r:id="rId10">
            <anchor moveWithCells="1">
              <from>
                <xdr:col>12</xdr:col>
                <xdr:colOff>533400</xdr:colOff>
                <xdr:row>17</xdr:row>
                <xdr:rowOff>9525</xdr:rowOff>
              </from>
              <to>
                <xdr:col>13</xdr:col>
                <xdr:colOff>552450</xdr:colOff>
                <xdr:row>18</xdr:row>
                <xdr:rowOff>47625</xdr:rowOff>
              </to>
            </anchor>
          </controlPr>
        </control>
      </mc:Choice>
      <mc:Fallback>
        <control shapeId="193546" r:id="rId9" name="YScaleMin"/>
      </mc:Fallback>
    </mc:AlternateContent>
    <mc:AlternateContent xmlns:mc="http://schemas.openxmlformats.org/markup-compatibility/2006">
      <mc:Choice Requires="x14">
        <control shapeId="193545" r:id="rId11" name="Label4">
          <controlPr defaultSize="0" print="0" autoLine="0" r:id="rId12">
            <anchor moveWithCells="1">
              <from>
                <xdr:col>13</xdr:col>
                <xdr:colOff>571500</xdr:colOff>
                <xdr:row>17</xdr:row>
                <xdr:rowOff>38100</xdr:rowOff>
              </from>
              <to>
                <xdr:col>14</xdr:col>
                <xdr:colOff>238125</xdr:colOff>
                <xdr:row>18</xdr:row>
                <xdr:rowOff>76200</xdr:rowOff>
              </to>
            </anchor>
          </controlPr>
        </control>
      </mc:Choice>
      <mc:Fallback>
        <control shapeId="193545" r:id="rId11" name="Label4"/>
      </mc:Fallback>
    </mc:AlternateContent>
    <mc:AlternateContent xmlns:mc="http://schemas.openxmlformats.org/markup-compatibility/2006">
      <mc:Choice Requires="x14">
        <control shapeId="193544" r:id="rId13" name="YScaleLogarithmic">
          <controlPr defaultSize="0" print="0" autoLine="0" r:id="rId14">
            <anchor moveWithCells="1">
              <from>
                <xdr:col>14</xdr:col>
                <xdr:colOff>161925</xdr:colOff>
                <xdr:row>15</xdr:row>
                <xdr:rowOff>161925</xdr:rowOff>
              </from>
              <to>
                <xdr:col>15</xdr:col>
                <xdr:colOff>342900</xdr:colOff>
                <xdr:row>17</xdr:row>
                <xdr:rowOff>9525</xdr:rowOff>
              </to>
            </anchor>
          </controlPr>
        </control>
      </mc:Choice>
      <mc:Fallback>
        <control shapeId="193544" r:id="rId13" name="YScaleLogarithmic"/>
      </mc:Fallback>
    </mc:AlternateContent>
    <mc:AlternateContent xmlns:mc="http://schemas.openxmlformats.org/markup-compatibility/2006">
      <mc:Choice Requires="x14">
        <control shapeId="193543" r:id="rId15" name="Label3">
          <controlPr defaultSize="0" print="0" autoLine="0" r:id="rId16">
            <anchor moveWithCells="1">
              <from>
                <xdr:col>13</xdr:col>
                <xdr:colOff>47625</xdr:colOff>
                <xdr:row>16</xdr:row>
                <xdr:rowOff>0</xdr:rowOff>
              </from>
              <to>
                <xdr:col>14</xdr:col>
                <xdr:colOff>76200</xdr:colOff>
                <xdr:row>17</xdr:row>
                <xdr:rowOff>38100</xdr:rowOff>
              </to>
            </anchor>
          </controlPr>
        </control>
      </mc:Choice>
      <mc:Fallback>
        <control shapeId="193543" r:id="rId15" name="Label3"/>
      </mc:Fallback>
    </mc:AlternateContent>
    <mc:AlternateContent xmlns:mc="http://schemas.openxmlformats.org/markup-compatibility/2006">
      <mc:Choice Requires="x14">
        <control shapeId="193542" r:id="rId17" name="XScaleMax">
          <controlPr defaultSize="0" print="0" autoLine="0" r:id="rId18">
            <anchor moveWithCells="1">
              <from>
                <xdr:col>14</xdr:col>
                <xdr:colOff>247650</xdr:colOff>
                <xdr:row>14</xdr:row>
                <xdr:rowOff>76200</xdr:rowOff>
              </from>
              <to>
                <xdr:col>15</xdr:col>
                <xdr:colOff>276225</xdr:colOff>
                <xdr:row>15</xdr:row>
                <xdr:rowOff>114300</xdr:rowOff>
              </to>
            </anchor>
          </controlPr>
        </control>
      </mc:Choice>
      <mc:Fallback>
        <control shapeId="193542" r:id="rId17" name="XScaleMax"/>
      </mc:Fallback>
    </mc:AlternateContent>
    <mc:AlternateContent xmlns:mc="http://schemas.openxmlformats.org/markup-compatibility/2006">
      <mc:Choice Requires="x14">
        <control shapeId="193541" r:id="rId19" name="XScaleMin">
          <controlPr defaultSize="0" print="0" autoLine="0" r:id="rId20">
            <anchor moveWithCells="1">
              <from>
                <xdr:col>12</xdr:col>
                <xdr:colOff>533400</xdr:colOff>
                <xdr:row>14</xdr:row>
                <xdr:rowOff>76200</xdr:rowOff>
              </from>
              <to>
                <xdr:col>13</xdr:col>
                <xdr:colOff>552450</xdr:colOff>
                <xdr:row>15</xdr:row>
                <xdr:rowOff>114300</xdr:rowOff>
              </to>
            </anchor>
          </controlPr>
        </control>
      </mc:Choice>
      <mc:Fallback>
        <control shapeId="193541" r:id="rId19" name="XScaleMin"/>
      </mc:Fallback>
    </mc:AlternateContent>
    <mc:AlternateContent xmlns:mc="http://schemas.openxmlformats.org/markup-compatibility/2006">
      <mc:Choice Requires="x14">
        <control shapeId="193540" r:id="rId21" name="Label2">
          <controlPr defaultSize="0" print="0" autoLine="0" r:id="rId22">
            <anchor moveWithCells="1">
              <from>
                <xdr:col>13</xdr:col>
                <xdr:colOff>571500</xdr:colOff>
                <xdr:row>14</xdr:row>
                <xdr:rowOff>95250</xdr:rowOff>
              </from>
              <to>
                <xdr:col>14</xdr:col>
                <xdr:colOff>238125</xdr:colOff>
                <xdr:row>15</xdr:row>
                <xdr:rowOff>133350</xdr:rowOff>
              </to>
            </anchor>
          </controlPr>
        </control>
      </mc:Choice>
      <mc:Fallback>
        <control shapeId="193540" r:id="rId21" name="Label2"/>
      </mc:Fallback>
    </mc:AlternateContent>
    <mc:AlternateContent xmlns:mc="http://schemas.openxmlformats.org/markup-compatibility/2006">
      <mc:Choice Requires="x14">
        <control shapeId="193539" r:id="rId23" name="Label1">
          <controlPr defaultSize="0" print="0" autoLine="0" r:id="rId24">
            <anchor moveWithCells="1">
              <from>
                <xdr:col>13</xdr:col>
                <xdr:colOff>390525</xdr:colOff>
                <xdr:row>13</xdr:row>
                <xdr:rowOff>57150</xdr:rowOff>
              </from>
              <to>
                <xdr:col>14</xdr:col>
                <xdr:colOff>419100</xdr:colOff>
                <xdr:row>14</xdr:row>
                <xdr:rowOff>95250</xdr:rowOff>
              </to>
            </anchor>
          </controlPr>
        </control>
      </mc:Choice>
      <mc:Fallback>
        <control shapeId="193539" r:id="rId23" name="Label1"/>
      </mc:Fallback>
    </mc:AlternateContent>
    <mc:AlternateContent xmlns:mc="http://schemas.openxmlformats.org/markup-compatibility/2006">
      <mc:Choice Requires="x14">
        <control shapeId="193538" r:id="rId25" name="FmlListBox">
          <controlPr defaultSize="0" print="0" autoLine="0" r:id="rId26">
            <anchor moveWithCells="1">
              <from>
                <xdr:col>12</xdr:col>
                <xdr:colOff>428625</xdr:colOff>
                <xdr:row>4</xdr:row>
                <xdr:rowOff>76200</xdr:rowOff>
              </from>
              <to>
                <xdr:col>15</xdr:col>
                <xdr:colOff>381000</xdr:colOff>
                <xdr:row>13</xdr:row>
                <xdr:rowOff>19050</xdr:rowOff>
              </to>
            </anchor>
          </controlPr>
        </control>
      </mc:Choice>
      <mc:Fallback>
        <control shapeId="193538" r:id="rId25" name="FmlListBox"/>
      </mc:Fallback>
    </mc:AlternateContent>
    <mc:AlternateContent xmlns:mc="http://schemas.openxmlformats.org/markup-compatibility/2006">
      <mc:Choice Requires="x14">
        <control shapeId="193537" r:id="rId27" name="RngCopy">
          <controlPr defaultSize="0" print="0" autoLine="0" r:id="rId28">
            <anchor moveWithCells="1">
              <from>
                <xdr:col>0</xdr:col>
                <xdr:colOff>581025</xdr:colOff>
                <xdr:row>2</xdr:row>
                <xdr:rowOff>152400</xdr:rowOff>
              </from>
              <to>
                <xdr:col>3</xdr:col>
                <xdr:colOff>19050</xdr:colOff>
                <xdr:row>4</xdr:row>
                <xdr:rowOff>47625</xdr:rowOff>
              </to>
            </anchor>
          </controlPr>
        </control>
      </mc:Choice>
      <mc:Fallback>
        <control shapeId="193537" r:id="rId27" name="RngCop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Parameters</vt:lpstr>
      <vt:lpstr>处理</vt:lpstr>
      <vt:lpstr>PIE(9.0-10.05)_3</vt:lpstr>
      <vt:lpstr>PIE(9.0-10.05)</vt:lpstr>
      <vt:lpstr>PIE(10-12)</vt:lpstr>
      <vt:lpstr>PIE(10-12)_2</vt:lpstr>
      <vt:lpstr>PIE(9.0-10.05)_2</vt:lpstr>
      <vt:lpstr>PIE(9.0-10.05)_4</vt:lpstr>
      <vt:lpstr>14.7eV</vt:lpstr>
      <vt:lpstr>14.7eV_2</vt:lpstr>
      <vt:lpstr>PIE(9.5-10)</vt:lpstr>
      <vt:lpstr>PIE(9.5-10)_2</vt:lpstr>
      <vt:lpstr>PIE(9.0-10.05)_5</vt:lpstr>
    </vt:vector>
  </TitlesOfParts>
  <Company>中国石油大学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Jzh Yang</dc:creator>
  <cp:lastModifiedBy>BL03U</cp:lastModifiedBy>
  <cp:lastPrinted>2012-03-15T11:21:11Z</cp:lastPrinted>
  <dcterms:created xsi:type="dcterms:W3CDTF">2012-01-14T07:34:48Z</dcterms:created>
  <dcterms:modified xsi:type="dcterms:W3CDTF">2023-07-28T12:37:28Z</dcterms:modified>
</cp:coreProperties>
</file>